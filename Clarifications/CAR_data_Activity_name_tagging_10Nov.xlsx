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abrinaderwent/Documents/GitHub/STAT390_LegalAid_Fall2025/Clarifications/"/>
    </mc:Choice>
  </mc:AlternateContent>
  <xr:revisionPtr revIDLastSave="0" documentId="13_ncr:1_{9C5ACA85-C950-2E49-BA93-E89181EEE1F2}" xr6:coauthVersionLast="47" xr6:coauthVersionMax="47" xr10:uidLastSave="{00000000-0000-0000-0000-000000000000}"/>
  <bookViews>
    <workbookView xWindow="6380" yWindow="760" windowWidth="22580" windowHeight="17820" tabRatio="799" firstSheet="1" activeTab="2" xr2:uid="{607C3898-A061-43F2-B8EC-A6C01FB58344}"/>
  </bookViews>
  <sheets>
    <sheet name="termination reason" sheetId="4" state="hidden" r:id="rId1"/>
    <sheet name="activity name counts (CAR)" sheetId="9" r:id="rId2"/>
    <sheet name="Last activity" sheetId="10" r:id="rId3"/>
  </sheets>
  <definedNames>
    <definedName name="_xlnm._FilterDatabase" localSheetId="1" hidden="1">'Last activity'!$A$1:$D$83</definedName>
    <definedName name="_xlnm._FilterDatabase" localSheetId="2" hidden="1">'Last activity'!$A$1:$D$83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 i="10" l="1"/>
  <c r="D30" i="10"/>
  <c r="D3" i="10"/>
  <c r="D4" i="10"/>
  <c r="D5" i="10"/>
  <c r="D6" i="10"/>
  <c r="D7" i="10"/>
  <c r="D8" i="10"/>
  <c r="D9" i="10"/>
  <c r="D10" i="10"/>
  <c r="D12" i="10"/>
  <c r="D13" i="10"/>
  <c r="D14" i="10"/>
  <c r="D15" i="10"/>
  <c r="D16" i="10"/>
  <c r="D17" i="10"/>
  <c r="D18" i="10"/>
  <c r="D19" i="10"/>
  <c r="D20" i="10"/>
  <c r="D21" i="10"/>
  <c r="D22" i="10"/>
  <c r="D23" i="10"/>
  <c r="D24" i="10"/>
  <c r="D25" i="10"/>
  <c r="D26" i="10"/>
  <c r="D27" i="10"/>
  <c r="D28" i="10"/>
  <c r="D29"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2" i="10"/>
</calcChain>
</file>

<file path=xl/sharedStrings.xml><?xml version="1.0" encoding="utf-8"?>
<sst xmlns="http://schemas.openxmlformats.org/spreadsheetml/2006/main" count="708" uniqueCount="296">
  <si>
    <t>Termination Reason</t>
  </si>
  <si>
    <t>Frequency</t>
  </si>
  <si>
    <t>Customer Left</t>
  </si>
  <si>
    <t>Agent Left</t>
  </si>
  <si>
    <t>System disconnected the contact</t>
  </si>
  <si>
    <t>NO_ANSWER_FROM_AGENT</t>
  </si>
  <si>
    <t>RONA_TIMER_EXPIRED</t>
  </si>
  <si>
    <t>Queue Timeout</t>
  </si>
  <si>
    <t>NO_ANSWER_FROM_CUSTOMER</t>
  </si>
  <si>
    <t>RONA Timer Expired</t>
  </si>
  <si>
    <t>AGENT_ENDS</t>
  </si>
  <si>
    <t>CUSTOMER_UNAVAILABLE</t>
  </si>
  <si>
    <t>System Error</t>
  </si>
  <si>
    <t>CUSTOMER_BUSY</t>
  </si>
  <si>
    <t>USER_UNAVAILABLE</t>
  </si>
  <si>
    <t>NO_ANSWER_USER</t>
  </si>
  <si>
    <t>USER_BUSY</t>
  </si>
  <si>
    <t>MEDIA_MANAGER_INTERNAL_ERROR</t>
  </si>
  <si>
    <t>AGENT_UNAVAILABLE</t>
  </si>
  <si>
    <t>MAX_CALLBACK_RETRY_LIMIT_REACHED</t>
  </si>
  <si>
    <t>AGENT_BUSY</t>
  </si>
  <si>
    <t>USER_DECLINED</t>
  </si>
  <si>
    <t>Participant Invite timer expired</t>
  </si>
  <si>
    <t>CONTACT_CALLBACK_IN_PROGRESS</t>
  </si>
  <si>
    <t>OUTDIAL_FAILED</t>
  </si>
  <si>
    <t>CHANNEL_FAILURE</t>
  </si>
  <si>
    <t>NO_ANSWER_CUSTOMER</t>
  </si>
  <si>
    <t xml:space="preserve">Total: </t>
  </si>
  <si>
    <t>Activity Name</t>
  </si>
  <si>
    <t>Number of rows</t>
  </si>
  <si>
    <t>#Calls (distinct contact session IDs)</t>
  </si>
  <si>
    <t>Ratio</t>
  </si>
  <si>
    <t>LanguageSelectionMenu</t>
  </si>
  <si>
    <t>MainMenu</t>
  </si>
  <si>
    <t>SeniorsMenu</t>
  </si>
  <si>
    <t>LegalMenu1</t>
  </si>
  <si>
    <t>LegalMenu2</t>
  </si>
  <si>
    <t>ClosedQueueMenu</t>
  </si>
  <si>
    <t>SeniorsConfirmationMenu</t>
  </si>
  <si>
    <t>SuburbsOrCityMenu</t>
  </si>
  <si>
    <t>StaffDirectoryEnglishTransfer</t>
  </si>
  <si>
    <t>ClinicVoicemailTransfer</t>
  </si>
  <si>
    <t>FamilyMenu</t>
  </si>
  <si>
    <t>ClosedMenu</t>
  </si>
  <si>
    <t>DisconnectContact1</t>
  </si>
  <si>
    <t>HousingMenu</t>
  </si>
  <si>
    <t>SeniorsADAPTMenu</t>
  </si>
  <si>
    <t>PreTenantMenu</t>
  </si>
  <si>
    <t>OtherLegalMenu</t>
  </si>
  <si>
    <t>AppointmentMenu</t>
  </si>
  <si>
    <t>TenantMenu</t>
  </si>
  <si>
    <t>HelpWithLegalorOtherReasonMenu</t>
  </si>
  <si>
    <t>PreQueueMessage2</t>
  </si>
  <si>
    <t>DivorceOrParentingMenu</t>
  </si>
  <si>
    <t>OtherLegalOtherMenu</t>
  </si>
  <si>
    <t>FarmworkerMainMenu</t>
  </si>
  <si>
    <t>LegalServerScreenPop</t>
  </si>
  <si>
    <t>DisconnectContact</t>
  </si>
  <si>
    <t>SetCallerID</t>
  </si>
  <si>
    <t>ReadANI</t>
  </si>
  <si>
    <t>PlayMOH300s</t>
  </si>
  <si>
    <t>PlayCCBConfirmation</t>
  </si>
  <si>
    <t>CCB</t>
  </si>
  <si>
    <t>QueueMenu1</t>
  </si>
  <si>
    <t>SuburbanSeniorsMenu</t>
  </si>
  <si>
    <t>FrontDeskTransfer1</t>
  </si>
  <si>
    <t>BenefitsMenu</t>
  </si>
  <si>
    <t>IntakePreQueueMessage1</t>
  </si>
  <si>
    <t>FrontDeskTransfer2</t>
  </si>
  <si>
    <t>SubSeniorPreQueueMessage1_1</t>
  </si>
  <si>
    <t>EmploymentMenu</t>
  </si>
  <si>
    <t>TenantDeterrenceMenu</t>
  </si>
  <si>
    <t>StaffDirectorySpanishTransfer</t>
  </si>
  <si>
    <t>ImmigrationMenu</t>
  </si>
  <si>
    <t>AddressFaxHoursMenu</t>
  </si>
  <si>
    <t>GetLoggedInFamilyAgents</t>
  </si>
  <si>
    <t>FrontDeskTransfer</t>
  </si>
  <si>
    <t>SimpleDivorceMenu</t>
  </si>
  <si>
    <t>HolidayPrompt</t>
  </si>
  <si>
    <t>CriminalRecordsVoicemailTransfer</t>
  </si>
  <si>
    <t>ChildSupportMenu</t>
  </si>
  <si>
    <t>OtherLegalCriminalCaseMenu</t>
  </si>
  <si>
    <t>HIVMenu</t>
  </si>
  <si>
    <t>OtherLegalPersonalInjuryMenu</t>
  </si>
  <si>
    <t>FamilyQueue</t>
  </si>
  <si>
    <t>GetLoggedInConsumerAgents</t>
  </si>
  <si>
    <t>GetLoggedInSubSeniorOtherAgents</t>
  </si>
  <si>
    <t>CallbackRetry</t>
  </si>
  <si>
    <t>ConsumerQueue</t>
  </si>
  <si>
    <t>SeniorNotCookCoMenu</t>
  </si>
  <si>
    <t>GetLoggedInHousingAgents</t>
  </si>
  <si>
    <t>SubSeniorOtherQueue</t>
  </si>
  <si>
    <t>ComplimentOrComplaintMenu</t>
  </si>
  <si>
    <t>HousingQueue</t>
  </si>
  <si>
    <t>CollectCallbackNumber</t>
  </si>
  <si>
    <t>ConfirmCallbackNumber</t>
  </si>
  <si>
    <t>ImmigrationOtherMenu</t>
  </si>
  <si>
    <t>GetLoggedInBenefitsAgents</t>
  </si>
  <si>
    <t>GetLoggedInSubSeniorTenantAgents</t>
  </si>
  <si>
    <t>GetLoggedInSubSeniorBenefitsAgents</t>
  </si>
  <si>
    <t>HIVVoicemailTransfer</t>
  </si>
  <si>
    <t>BenefitsQueue</t>
  </si>
  <si>
    <t>ScreenPopProcessComplete</t>
  </si>
  <si>
    <t>SubSeniorTenantQueue</t>
  </si>
  <si>
    <t>SubSeniorBenefitsQueue</t>
  </si>
  <si>
    <t>ThankYouGoodbye</t>
  </si>
  <si>
    <t>GetLoggedInEmploymentAgents</t>
  </si>
  <si>
    <t>GetLoggedInSubSeniorConsumerAgents</t>
  </si>
  <si>
    <t>GetLoggedInSubSeniorFamilyAgents</t>
  </si>
  <si>
    <t>GetLoggedInSubSeniorHomeownerAgents</t>
  </si>
  <si>
    <t>FrontDeskTransfer3</t>
  </si>
  <si>
    <t>EmploymentQueue</t>
  </si>
  <si>
    <t>SubSeniorConsumerQueue</t>
  </si>
  <si>
    <t>SubSeniorFamilyQueue</t>
  </si>
  <si>
    <t>GetLoggedInADAPTAgents</t>
  </si>
  <si>
    <t>SubSeniorHomeownerQueue</t>
  </si>
  <si>
    <t>TransferToSafeHaven</t>
  </si>
  <si>
    <t>ADAPTQueue</t>
  </si>
  <si>
    <t>GetLoggedInSubSeniorADAPTAgents</t>
  </si>
  <si>
    <t>GetLoggedInFamilySPAgents</t>
  </si>
  <si>
    <t>SubSeniorADAPTQueue</t>
  </si>
  <si>
    <t>FamilySPQueue</t>
  </si>
  <si>
    <t>GetLoggedInImmigrationSPAgents</t>
  </si>
  <si>
    <t>GetLoggedInSubSeniorEmploymentAgents</t>
  </si>
  <si>
    <t>VeteransBenefitsVoicemailTransfer</t>
  </si>
  <si>
    <t>SubSeniorPreQueueMessage1_2</t>
  </si>
  <si>
    <t>WorkersCompMenu</t>
  </si>
  <si>
    <t>ImmigrationSPQueue</t>
  </si>
  <si>
    <t>DisconnectContact2</t>
  </si>
  <si>
    <t>GetLoggedInSubSeniorOtherSPAgents</t>
  </si>
  <si>
    <t>GetLoggedInConsumerSPAgents</t>
  </si>
  <si>
    <t>SubSeniorEmploymentQueue</t>
  </si>
  <si>
    <t>TraffickingVoicemailTransfer</t>
  </si>
  <si>
    <t>GetLoggedInSubSeniorBenefitsSPAgents</t>
  </si>
  <si>
    <t>GetLoggedInBenefitsSPAgents</t>
  </si>
  <si>
    <t>ConsumerSPQueue</t>
  </si>
  <si>
    <t>GetLoggedInEducationAgents</t>
  </si>
  <si>
    <t>GetLoggedInEmploymentSPAgents</t>
  </si>
  <si>
    <t>BenefitsSPQueue</t>
  </si>
  <si>
    <t>GetLoggedInSubSeniorConsumerSPAgents</t>
  </si>
  <si>
    <t>EducationQueue</t>
  </si>
  <si>
    <t>EmploymentSPQueue</t>
  </si>
  <si>
    <t>DisconnectCallbackContact</t>
  </si>
  <si>
    <t>GetLoggedInSubSeniorFamilySPAgents</t>
  </si>
  <si>
    <t>MigrantVoicemailTransfer</t>
  </si>
  <si>
    <t>GetLoggedInImmigrationAgents</t>
  </si>
  <si>
    <t>SubSeniorOtherSPQueue</t>
  </si>
  <si>
    <t>ImmigrationQueue</t>
  </si>
  <si>
    <t>GetLoggedInOtherSubSeniorsAgents</t>
  </si>
  <si>
    <t>SubSeniorConsumerSPQueue</t>
  </si>
  <si>
    <t>GetLoggedInSubSeniorHomeownerSPAgents</t>
  </si>
  <si>
    <t>SubSeniorBenefitsSPQueue</t>
  </si>
  <si>
    <t>GetLoggedInSubSeniorEmploymentSPAgents</t>
  </si>
  <si>
    <t>GetLoggedInSubSeniorTenantSPAgents</t>
  </si>
  <si>
    <t>GetLoggedInHousingSubSeniorsAgents</t>
  </si>
  <si>
    <t>GetLoggedInADAPTSPAgents</t>
  </si>
  <si>
    <t>OtherSubSeniorsQueue</t>
  </si>
  <si>
    <t>GetLoggedInConsumerSubSeniorsAgents</t>
  </si>
  <si>
    <t>GetLoggedInBenefitsSubSeniorsAgents</t>
  </si>
  <si>
    <t>SubSeniorFamilySPQueue</t>
  </si>
  <si>
    <t>ADAPTSPQueue</t>
  </si>
  <si>
    <t>GetLoggedInFamilySubSeniorsAgents</t>
  </si>
  <si>
    <t>GetLoggedInHousingSPAgents</t>
  </si>
  <si>
    <t>GetLoggedInSubSeniorADAPTSPAgents</t>
  </si>
  <si>
    <t>GetLoggedInHomeownerSubSeniorsAgents</t>
  </si>
  <si>
    <t>SubSeniorHomeownerSPQueue</t>
  </si>
  <si>
    <t>PlayErrorMessage</t>
  </si>
  <si>
    <t>GetLoggedInEducationSPAgents</t>
  </si>
  <si>
    <t>HousingSPQueue</t>
  </si>
  <si>
    <t>BenefitsSubSeniorsQueue</t>
  </si>
  <si>
    <t>ConsumerSubSeniorsQueue</t>
  </si>
  <si>
    <t>HousingSubSeniorsQueue</t>
  </si>
  <si>
    <t>SubSeniorEmploymentSPQueue</t>
  </si>
  <si>
    <t>GetLoggedInADAPTSubSeniorsAgents</t>
  </si>
  <si>
    <t>HomeownerSubSeniorsQueue</t>
  </si>
  <si>
    <t>SubSeniorTenantSPQueue</t>
  </si>
  <si>
    <t>EducationSPQueue</t>
  </si>
  <si>
    <t>FamilySubSeniorsQueue</t>
  </si>
  <si>
    <t>GetLoggedInBenefitsSubSeniorsSPAgents</t>
  </si>
  <si>
    <t>ADAPTSubSeniorsQueue</t>
  </si>
  <si>
    <t>SubSeniorADAPTSPQueue</t>
  </si>
  <si>
    <t>BenefitsSubSeniorsSPQueue</t>
  </si>
  <si>
    <t>GetLoggedInEmploymentSubSeniorsAgents</t>
  </si>
  <si>
    <t>GetLoggedInConsumerSubSeniorsSPAgents</t>
  </si>
  <si>
    <t>GetLoggedInOtherSubSeniorsSPAgents</t>
  </si>
  <si>
    <t>OtherSubSeniorsSPQueue</t>
  </si>
  <si>
    <t>GetLoggedInFamilySubSeniorsSPAgents</t>
  </si>
  <si>
    <t>EmploymentSubSeniorsQueue</t>
  </si>
  <si>
    <t>GetLoggedInADAPTSubSeniorsSPAgents</t>
  </si>
  <si>
    <t>ADAPTSubSeniorsSPQueue</t>
  </si>
  <si>
    <t>ConsumerSubSeniorsSPQueue</t>
  </si>
  <si>
    <t>FamilySubSeniorsSPQueue</t>
  </si>
  <si>
    <t>GetLoggedInHousingSubSeniorsSPAgents</t>
  </si>
  <si>
    <t>HousingSubSeniorsSPQueue</t>
  </si>
  <si>
    <t>GetLoggedInEmploymentSubSeniorsSPAgents</t>
  </si>
  <si>
    <t>EmploymentSubSeniorsSPQueue</t>
  </si>
  <si>
    <t>Last activity</t>
  </si>
  <si>
    <t>Last activity menu</t>
  </si>
  <si>
    <t>Percent</t>
  </si>
  <si>
    <t>Outcome</t>
  </si>
  <si>
    <t>Type</t>
  </si>
  <si>
    <t>Verify by calling LegalAid</t>
  </si>
  <si>
    <t>Comment</t>
  </si>
  <si>
    <t>Tagging Initiated by</t>
  </si>
  <si>
    <t>Tagging Verified by</t>
  </si>
  <si>
    <t>EDA team 1 / 2</t>
  </si>
  <si>
    <t>Pre-legal seniors menu, legal menu, Family, Housing, Benefits, Employment, Immigration</t>
  </si>
  <si>
    <t>Negative</t>
  </si>
  <si>
    <t>Closed queue</t>
  </si>
  <si>
    <t>Krish</t>
  </si>
  <si>
    <t>Main Menu, Holiday &amp; Closed Menu</t>
  </si>
  <si>
    <t>Positive (Tentative)</t>
  </si>
  <si>
    <t>Yes</t>
  </si>
  <si>
    <t>Vivi</t>
  </si>
  <si>
    <t xml:space="preserve">Start Menu (LAC Main Number) </t>
  </si>
  <si>
    <t>Abandoned</t>
  </si>
  <si>
    <t>Sabrina</t>
  </si>
  <si>
    <t>Main Menu, Holiday &amp; Closed Menu, Family Menu, Housing Menu, Other Legal Menu, Closed Queue Menu</t>
  </si>
  <si>
    <t>Positive / Negative / Neutral</t>
  </si>
  <si>
    <t>If EP name = 'Closed Queue Menu Telephony EP', then Negative, and type = "Closed queue",
otherwise Positive, type = 'Reached voicemail', if EP name = 'Closed Hours-Holidays Menu Telephony EP' then neutral, and type = 'After hours call</t>
  </si>
  <si>
    <t>Main Menu</t>
  </si>
  <si>
    <t>Pre-Legal Seniors Menu, Legal Menu, Family Menu, Housing Menu, Benefits Menu, Employment Menu, Immigration Menu</t>
  </si>
  <si>
    <t>Neutral / Negative</t>
  </si>
  <si>
    <t>If EP name = Closed Hours-Holidays Menu Telephony EP	, then Neutral, type = "After hours call"
If EP name = Closed Queue Menu Telephony EP, then Negative, type = "Closed Queue"</t>
  </si>
  <si>
    <t>Legal Menu</t>
  </si>
  <si>
    <t>Farmworker Menu</t>
  </si>
  <si>
    <t xml:space="preserve">Negative </t>
  </si>
  <si>
    <t>Abandoned (tenative)</t>
  </si>
  <si>
    <t xml:space="preserve">Based on info from Mark, this reflects no activity at Farmworker Menu and cannot progress without a selection; either call disconnects after max number of repetitions or the caller hangs up; max step counter is unknown so believe calls should be considered abandoned </t>
  </si>
  <si>
    <t>N/A - Ad Hoc Outbound Call</t>
  </si>
  <si>
    <t xml:space="preserve"> Pre-Legal Seniors Menu, Legal Menu, Family Menu, Housing Menu, Benefits Menu, Employment Menu, Immigration Menu</t>
  </si>
  <si>
    <t xml:space="preserve">Positive / neutral (tenative) </t>
  </si>
  <si>
    <t>If there is an Agent Name and time difference between activity &amp; end of call, it is positive. Otherwise, the call could not connect  to customer; uncertainty b/c there are not activity names that indicate connection in the data</t>
  </si>
  <si>
    <t>Positive</t>
  </si>
  <si>
    <t xml:space="preserve">Front Desk </t>
  </si>
  <si>
    <t>No input for language selection;</t>
  </si>
  <si>
    <t>Holiday &amp; Closed Menu</t>
  </si>
  <si>
    <t>Neutral</t>
  </si>
  <si>
    <t>Closed</t>
  </si>
  <si>
    <t>Appointment Menu</t>
  </si>
  <si>
    <t>Caller has an appointment scheduled</t>
  </si>
  <si>
    <t>Other Legal Menu</t>
  </si>
  <si>
    <t xml:space="preserve">Positive </t>
  </si>
  <si>
    <t>Caller requests an interpreter</t>
  </si>
  <si>
    <t>Housing menu</t>
  </si>
  <si>
    <t>Voicemail Transfer</t>
  </si>
  <si>
    <t>Family menu</t>
  </si>
  <si>
    <t>Pre-Legal Seniors Menu, Legal Menu, Family Menu, Housing Menu, Benefits Menu, Employment Menu, Immigration Menu, </t>
  </si>
  <si>
    <t xml:space="preserve">Legal Menu </t>
  </si>
  <si>
    <t>Pre-legal seniors menu</t>
  </si>
  <si>
    <t>HIV Menu</t>
  </si>
  <si>
    <t xml:space="preserve"> Pre-Legal Seniors Menu, Legal Menu, Family Menu, Housing Menu, Benefits Menu, Employment Menu, Immigration Menu,</t>
  </si>
  <si>
    <t xml:space="preserve">Positive / Neutral (tenative) </t>
  </si>
  <si>
    <t>If there is an Agent Name and time difference between activity &amp; end of call, it is positive. Otherwise, the call could not connect; uncertainty b/c there are not activity names that indicate connection in the data</t>
  </si>
  <si>
    <t xml:space="preserve">Main Menu </t>
  </si>
  <si>
    <t xml:space="preserve">Positive (tenative) </t>
  </si>
  <si>
    <t>Caller listens to message; no option given to return to previous menus</t>
  </si>
  <si>
    <t>Issue not handled by LAC</t>
  </si>
  <si>
    <t>No input</t>
  </si>
  <si>
    <t>Immigration menu</t>
  </si>
  <si>
    <t>Pre-Legal Seniors Menu</t>
  </si>
  <si>
    <t xml:space="preserve">Abandoned </t>
  </si>
  <si>
    <t>Family Menu</t>
  </si>
  <si>
    <t>Based on verbiage, unsure of what selection at Family Menu leads to this action</t>
  </si>
  <si>
    <t>Benefits Menu</t>
  </si>
  <si>
    <t xml:space="preserve">Neutral </t>
  </si>
  <si>
    <t>Callers outside Cook County or calling on someone else's behalf  (without POA) should abandon</t>
  </si>
  <si>
    <t>Caller is non-Cook County Senior and did not make a selection after message</t>
  </si>
  <si>
    <t>Employment menu</t>
  </si>
  <si>
    <t>No activity</t>
  </si>
  <si>
    <t>Caller selected Other Legal option (8) in Suburban Seniors Menu</t>
  </si>
  <si>
    <t>Immigration Menu</t>
  </si>
  <si>
    <t>Voice Mail Transfer</t>
  </si>
  <si>
    <t xml:space="preserve">Closed </t>
  </si>
  <si>
    <t>Unsuccessful Courtesy Callback</t>
  </si>
  <si>
    <t>No Agent Name for attempted courtesy callback</t>
  </si>
  <si>
    <t xml:space="preserve">Assuming this corresponds to Farm Worker Voicemail transfer on flow charts </t>
  </si>
  <si>
    <t>Verbiage tells callers that they can leave comments online</t>
  </si>
  <si>
    <t xml:space="preserve">Pre-Legal Seniors Menu, Legal Menu, Family Menu, Housing Menu, Benefits Menu, Employment Menu, Immigration Menu, </t>
  </si>
  <si>
    <t>Outbound call failed to connect; system error</t>
  </si>
  <si>
    <t>Employment Menu</t>
  </si>
  <si>
    <t>Pre-Legal Seniors</t>
  </si>
  <si>
    <t>Should check if agents are logged into queue; if last activity, call never entered queue -&gt; system error, customer may end call after waiting (not considering it abandonment)</t>
  </si>
  <si>
    <t>Courtesy Callback</t>
  </si>
  <si>
    <t>System failure in courtesy callback attempt</t>
  </si>
  <si>
    <t xml:space="preserve">Caller hangs up before being connected with an agent, system tries to progress but gives error since there's no caller </t>
  </si>
  <si>
    <t xml:space="preserve">Pre-Legal Seniors </t>
  </si>
  <si>
    <t>Caller did not finish confirming callback</t>
  </si>
  <si>
    <t>customer made it to a queue but was never connected with an agent or scheduled a callback. Likely that customer abandoned the call after waiting.</t>
  </si>
  <si>
    <t>Should check if agents are logged into queue, if last activity then caller never entered the queue (never heard pre-queue message1), customer may have ended call after waiting</t>
  </si>
  <si>
    <t>VIvi</t>
  </si>
  <si>
    <t>Pre-Legal Menu</t>
  </si>
  <si>
    <t xml:space="preserve">Queues Pre-Legal Seniors Menu, Legal Menu, Family Menu, Housing Menu, Benefits Menu, Employment Menu, Immigration Menu, </t>
  </si>
  <si>
    <t xml:space="preserve">"Play Courtesy CallBack Confirmation" . This is typically played right before the contact is disconnected from the system. The consumer selected a courtesy callback but hung up before the system could disconnect so this is neutral. </t>
  </si>
  <si>
    <t xml:space="preserve">Pre-Legal Menu </t>
  </si>
  <si>
    <t>Based on info from Mark, system sets caller ID for outbound call, but there is no activity suggesting the call is picked up, these calls are not to customers so should not be included in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</si>
</sst>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Helvetica Neue"/>
      <charset val="1"/>
    </font>
    <font>
      <sz val="11"/>
      <color rgb="FF000000"/>
      <name val="Aptos Narrow"/>
      <charset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2" fillId="0" borderId="0" xfId="0" applyFont="1"/>
    <xf numFmtId="164" fontId="0" fillId="0" borderId="0" xfId="1" applyNumberFormat="1" applyFont="1"/>
    <xf numFmtId="2" fontId="0" fillId="0" borderId="0" xfId="0" applyNumberFormat="1"/>
    <xf numFmtId="0" fontId="2" fillId="0" borderId="0" xfId="0" applyFont="1" applyAlignment="1">
      <alignment wrapText="1"/>
    </xf>
    <xf numFmtId="0" fontId="0" fillId="0" borderId="0" xfId="0" applyAlignment="1">
      <alignment wrapText="1"/>
    </xf>
    <xf numFmtId="0" fontId="2" fillId="0" borderId="1" xfId="0" applyFont="1" applyBorder="1" applyAlignment="1">
      <alignment wrapText="1"/>
    </xf>
    <xf numFmtId="0" fontId="0" fillId="2" borderId="0" xfId="0" applyFill="1" applyAlignment="1">
      <alignment wrapText="1"/>
    </xf>
    <xf numFmtId="0" fontId="3" fillId="0" borderId="0" xfId="0" applyFont="1" applyAlignment="1">
      <alignment wrapText="1"/>
    </xf>
    <xf numFmtId="164" fontId="0" fillId="0" borderId="0" xfId="1" applyNumberFormat="1" applyFont="1" applyAlignment="1">
      <alignment wrapText="1"/>
    </xf>
    <xf numFmtId="9" fontId="0" fillId="0" borderId="0" xfId="2" applyFont="1" applyAlignment="1">
      <alignment wrapText="1"/>
    </xf>
    <xf numFmtId="164" fontId="0" fillId="0" borderId="0" xfId="1" applyNumberFormat="1" applyFont="1" applyFill="1" applyAlignment="1">
      <alignment wrapText="1"/>
    </xf>
    <xf numFmtId="9" fontId="0" fillId="0" borderId="0" xfId="2" applyFont="1" applyFill="1" applyAlignment="1">
      <alignment wrapText="1"/>
    </xf>
    <xf numFmtId="0" fontId="0" fillId="3" borderId="0" xfId="0" applyFill="1" applyAlignment="1">
      <alignment wrapText="1"/>
    </xf>
    <xf numFmtId="164" fontId="0" fillId="2" borderId="0" xfId="1" applyNumberFormat="1" applyFont="1" applyFill="1" applyAlignment="1">
      <alignment wrapText="1"/>
    </xf>
    <xf numFmtId="9" fontId="0" fillId="2" borderId="0" xfId="2" applyFont="1" applyFill="1" applyAlignment="1">
      <alignment wrapText="1"/>
    </xf>
    <xf numFmtId="164" fontId="0" fillId="3" borderId="0" xfId="1" applyNumberFormat="1" applyFont="1" applyFill="1" applyAlignment="1">
      <alignment wrapText="1"/>
    </xf>
    <xf numFmtId="9" fontId="0" fillId="3" borderId="0" xfId="2" applyFont="1" applyFill="1" applyAlignment="1">
      <alignment wrapText="1"/>
    </xf>
    <xf numFmtId="0" fontId="4" fillId="0" borderId="0" xfId="0" applyFont="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87C8-B39B-4C38-8BFC-6165BBCFDE55}">
  <dimension ref="A1:B28"/>
  <sheetViews>
    <sheetView workbookViewId="0"/>
  </sheetViews>
  <sheetFormatPr baseColWidth="10" defaultColWidth="8.83203125" defaultRowHeight="15" x14ac:dyDescent="0.2"/>
  <cols>
    <col min="1" max="1" width="32.83203125" bestFit="1" customWidth="1"/>
    <col min="2" max="2" width="10.83203125" bestFit="1" customWidth="1"/>
  </cols>
  <sheetData>
    <row r="1" spans="1:2" x14ac:dyDescent="0.2">
      <c r="A1" s="1" t="s">
        <v>0</v>
      </c>
      <c r="B1" s="1" t="s">
        <v>1</v>
      </c>
    </row>
    <row r="2" spans="1:2" x14ac:dyDescent="0.2">
      <c r="A2" t="s">
        <v>2</v>
      </c>
      <c r="B2" s="2">
        <v>79194</v>
      </c>
    </row>
    <row r="3" spans="1:2" x14ac:dyDescent="0.2">
      <c r="A3" t="s">
        <v>3</v>
      </c>
      <c r="B3" s="2">
        <v>12154</v>
      </c>
    </row>
    <row r="4" spans="1:2" x14ac:dyDescent="0.2">
      <c r="A4" t="s">
        <v>4</v>
      </c>
      <c r="B4" s="2">
        <v>4541</v>
      </c>
    </row>
    <row r="5" spans="1:2" x14ac:dyDescent="0.2">
      <c r="A5" t="s">
        <v>5</v>
      </c>
      <c r="B5" s="2">
        <v>1007</v>
      </c>
    </row>
    <row r="6" spans="1:2" x14ac:dyDescent="0.2">
      <c r="A6" t="s">
        <v>6</v>
      </c>
      <c r="B6" s="2">
        <v>776</v>
      </c>
    </row>
    <row r="7" spans="1:2" x14ac:dyDescent="0.2">
      <c r="A7" t="s">
        <v>7</v>
      </c>
      <c r="B7" s="2">
        <v>670</v>
      </c>
    </row>
    <row r="8" spans="1:2" x14ac:dyDescent="0.2">
      <c r="A8" t="s">
        <v>8</v>
      </c>
      <c r="B8" s="2">
        <v>573</v>
      </c>
    </row>
    <row r="9" spans="1:2" x14ac:dyDescent="0.2">
      <c r="A9" t="s">
        <v>9</v>
      </c>
      <c r="B9" s="2">
        <v>460</v>
      </c>
    </row>
    <row r="10" spans="1:2" x14ac:dyDescent="0.2">
      <c r="A10" t="s">
        <v>10</v>
      </c>
      <c r="B10" s="2">
        <v>257</v>
      </c>
    </row>
    <row r="11" spans="1:2" x14ac:dyDescent="0.2">
      <c r="A11" t="s">
        <v>11</v>
      </c>
      <c r="B11">
        <v>223</v>
      </c>
    </row>
    <row r="12" spans="1:2" x14ac:dyDescent="0.2">
      <c r="A12" t="s">
        <v>12</v>
      </c>
      <c r="B12">
        <v>162</v>
      </c>
    </row>
    <row r="13" spans="1:2" x14ac:dyDescent="0.2">
      <c r="A13" t="s">
        <v>13</v>
      </c>
      <c r="B13">
        <v>112</v>
      </c>
    </row>
    <row r="14" spans="1:2" x14ac:dyDescent="0.2">
      <c r="A14" t="s">
        <v>14</v>
      </c>
      <c r="B14">
        <v>63</v>
      </c>
    </row>
    <row r="15" spans="1:2" x14ac:dyDescent="0.2">
      <c r="A15" t="s">
        <v>15</v>
      </c>
      <c r="B15">
        <v>46</v>
      </c>
    </row>
    <row r="16" spans="1:2" x14ac:dyDescent="0.2">
      <c r="A16" t="s">
        <v>16</v>
      </c>
      <c r="B16">
        <v>30</v>
      </c>
    </row>
    <row r="17" spans="1:2" x14ac:dyDescent="0.2">
      <c r="A17" t="s">
        <v>17</v>
      </c>
      <c r="B17">
        <v>30</v>
      </c>
    </row>
    <row r="18" spans="1:2" x14ac:dyDescent="0.2">
      <c r="A18" t="s">
        <v>18</v>
      </c>
      <c r="B18">
        <v>19</v>
      </c>
    </row>
    <row r="19" spans="1:2" x14ac:dyDescent="0.2">
      <c r="A19" t="s">
        <v>19</v>
      </c>
      <c r="B19">
        <v>19</v>
      </c>
    </row>
    <row r="20" spans="1:2" x14ac:dyDescent="0.2">
      <c r="A20" t="s">
        <v>20</v>
      </c>
      <c r="B20">
        <v>19</v>
      </c>
    </row>
    <row r="21" spans="1:2" x14ac:dyDescent="0.2">
      <c r="A21" t="s">
        <v>21</v>
      </c>
      <c r="B21">
        <v>9</v>
      </c>
    </row>
    <row r="22" spans="1:2" x14ac:dyDescent="0.2">
      <c r="A22" t="s">
        <v>22</v>
      </c>
      <c r="B22">
        <v>4</v>
      </c>
    </row>
    <row r="23" spans="1:2" x14ac:dyDescent="0.2">
      <c r="A23" t="s">
        <v>23</v>
      </c>
      <c r="B23">
        <v>2</v>
      </c>
    </row>
    <row r="24" spans="1:2" x14ac:dyDescent="0.2">
      <c r="A24" t="s">
        <v>24</v>
      </c>
      <c r="B24">
        <v>1</v>
      </c>
    </row>
    <row r="25" spans="1:2" x14ac:dyDescent="0.2">
      <c r="A25" t="s">
        <v>25</v>
      </c>
      <c r="B25">
        <v>1</v>
      </c>
    </row>
    <row r="26" spans="1:2" x14ac:dyDescent="0.2">
      <c r="A26" t="s">
        <v>26</v>
      </c>
      <c r="B26">
        <v>1</v>
      </c>
    </row>
    <row r="28" spans="1:2" x14ac:dyDescent="0.2">
      <c r="A28" t="s">
        <v>27</v>
      </c>
      <c r="B28" s="2">
        <v>100373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D810-8110-4FD1-8A65-1F5B70F5B858}">
  <dimension ref="A3:D167"/>
  <sheetViews>
    <sheetView workbookViewId="0">
      <selection activeCell="F3" sqref="F3:H85"/>
    </sheetView>
  </sheetViews>
  <sheetFormatPr baseColWidth="10" defaultColWidth="8.83203125" defaultRowHeight="15" x14ac:dyDescent="0.2"/>
  <cols>
    <col min="1" max="1" width="36.83203125" bestFit="1" customWidth="1"/>
    <col min="3" max="3" width="20.1640625" customWidth="1"/>
    <col min="4" max="4" width="9.1640625" customWidth="1"/>
    <col min="5" max="5" width="11.6640625" customWidth="1"/>
    <col min="6" max="6" width="31.5" bestFit="1" customWidth="1"/>
    <col min="7" max="7" width="16.33203125" customWidth="1"/>
  </cols>
  <sheetData>
    <row r="3" spans="1:4" s="5" customFormat="1" ht="32" x14ac:dyDescent="0.2">
      <c r="A3" s="4" t="s">
        <v>28</v>
      </c>
      <c r="B3" s="4" t="s">
        <v>29</v>
      </c>
      <c r="C3" s="4" t="s">
        <v>30</v>
      </c>
      <c r="D3" s="4" t="s">
        <v>31</v>
      </c>
    </row>
    <row r="4" spans="1:4" x14ac:dyDescent="0.2">
      <c r="A4" t="s">
        <v>32</v>
      </c>
      <c r="B4" s="2">
        <v>267656</v>
      </c>
      <c r="C4" s="2">
        <v>229889</v>
      </c>
      <c r="D4" s="3">
        <v>1.164283632535702</v>
      </c>
    </row>
    <row r="5" spans="1:4" x14ac:dyDescent="0.2">
      <c r="A5" t="s">
        <v>33</v>
      </c>
      <c r="B5" s="2">
        <v>186138</v>
      </c>
      <c r="C5" s="2">
        <v>165680</v>
      </c>
      <c r="D5" s="3">
        <v>1.1234789956542732</v>
      </c>
    </row>
    <row r="6" spans="1:4" x14ac:dyDescent="0.2">
      <c r="A6" t="s">
        <v>34</v>
      </c>
      <c r="B6" s="2">
        <v>125748</v>
      </c>
      <c r="C6" s="2">
        <v>109184</v>
      </c>
      <c r="D6" s="3">
        <v>1.1517072098475967</v>
      </c>
    </row>
    <row r="7" spans="1:4" x14ac:dyDescent="0.2">
      <c r="A7" t="s">
        <v>35</v>
      </c>
      <c r="B7" s="2">
        <v>96331</v>
      </c>
      <c r="C7" s="2">
        <v>96173</v>
      </c>
      <c r="D7" s="3">
        <v>1.0016428727397502</v>
      </c>
    </row>
    <row r="8" spans="1:4" x14ac:dyDescent="0.2">
      <c r="A8" t="s">
        <v>36</v>
      </c>
      <c r="B8" s="2">
        <v>110890</v>
      </c>
      <c r="C8" s="2">
        <v>92696</v>
      </c>
      <c r="D8" s="3">
        <v>1.1962759989643565</v>
      </c>
    </row>
    <row r="9" spans="1:4" x14ac:dyDescent="0.2">
      <c r="A9" t="s">
        <v>37</v>
      </c>
      <c r="B9" s="2">
        <v>87903</v>
      </c>
      <c r="C9" s="2">
        <v>49933</v>
      </c>
      <c r="D9" s="3">
        <v>1.760418961408287</v>
      </c>
    </row>
    <row r="10" spans="1:4" x14ac:dyDescent="0.2">
      <c r="A10" t="s">
        <v>38</v>
      </c>
      <c r="B10" s="2">
        <v>30337</v>
      </c>
      <c r="C10" s="2">
        <v>30274</v>
      </c>
      <c r="D10" s="3">
        <v>1.0020809935918611</v>
      </c>
    </row>
    <row r="11" spans="1:4" x14ac:dyDescent="0.2">
      <c r="A11" t="s">
        <v>39</v>
      </c>
      <c r="B11" s="2">
        <v>28301</v>
      </c>
      <c r="C11" s="2">
        <v>28102</v>
      </c>
      <c r="D11" s="3">
        <v>1.0070813465233792</v>
      </c>
    </row>
    <row r="12" spans="1:4" x14ac:dyDescent="0.2">
      <c r="A12" t="s">
        <v>40</v>
      </c>
      <c r="B12" s="2">
        <v>28035</v>
      </c>
      <c r="C12" s="2">
        <v>28035</v>
      </c>
      <c r="D12" s="3">
        <v>1</v>
      </c>
    </row>
    <row r="13" spans="1:4" x14ac:dyDescent="0.2">
      <c r="A13" t="s">
        <v>41</v>
      </c>
      <c r="B13" s="2">
        <v>25721</v>
      </c>
      <c r="C13" s="2">
        <v>25721</v>
      </c>
      <c r="D13" s="3">
        <v>1</v>
      </c>
    </row>
    <row r="14" spans="1:4" x14ac:dyDescent="0.2">
      <c r="A14" t="s">
        <v>42</v>
      </c>
      <c r="B14" s="2">
        <v>27415</v>
      </c>
      <c r="C14" s="2">
        <v>24794</v>
      </c>
      <c r="D14" s="3">
        <v>1.1057110591272081</v>
      </c>
    </row>
    <row r="15" spans="1:4" x14ac:dyDescent="0.2">
      <c r="A15" t="s">
        <v>43</v>
      </c>
      <c r="B15" s="2">
        <v>23629</v>
      </c>
      <c r="C15" s="2">
        <v>21641</v>
      </c>
      <c r="D15" s="3">
        <v>1.09186266808373</v>
      </c>
    </row>
    <row r="16" spans="1:4" x14ac:dyDescent="0.2">
      <c r="A16" t="s">
        <v>44</v>
      </c>
      <c r="B16" s="2">
        <v>20584</v>
      </c>
      <c r="C16" s="2">
        <v>20584</v>
      </c>
      <c r="D16" s="3">
        <v>1</v>
      </c>
    </row>
    <row r="17" spans="1:4" x14ac:dyDescent="0.2">
      <c r="A17" t="s">
        <v>45</v>
      </c>
      <c r="B17" s="2">
        <v>23145</v>
      </c>
      <c r="C17" s="2">
        <v>18568</v>
      </c>
      <c r="D17" s="3">
        <v>1.2464993537268418</v>
      </c>
    </row>
    <row r="18" spans="1:4" x14ac:dyDescent="0.2">
      <c r="A18" t="s">
        <v>46</v>
      </c>
      <c r="B18" s="2">
        <v>21736</v>
      </c>
      <c r="C18" s="2">
        <v>18030</v>
      </c>
      <c r="D18" s="3">
        <v>1.2055463117027176</v>
      </c>
    </row>
    <row r="19" spans="1:4" x14ac:dyDescent="0.2">
      <c r="A19" t="s">
        <v>47</v>
      </c>
      <c r="B19" s="2">
        <v>16045</v>
      </c>
      <c r="C19" s="2">
        <v>14428</v>
      </c>
      <c r="D19" s="3">
        <v>1.112073745494871</v>
      </c>
    </row>
    <row r="20" spans="1:4" x14ac:dyDescent="0.2">
      <c r="A20" t="s">
        <v>48</v>
      </c>
      <c r="B20" s="2">
        <v>31956</v>
      </c>
      <c r="C20" s="2">
        <v>14202</v>
      </c>
      <c r="D20" s="3">
        <v>2.2501056189269115</v>
      </c>
    </row>
    <row r="21" spans="1:4" x14ac:dyDescent="0.2">
      <c r="A21" t="s">
        <v>49</v>
      </c>
      <c r="B21" s="2">
        <v>13946</v>
      </c>
      <c r="C21" s="2">
        <v>13194</v>
      </c>
      <c r="D21" s="3">
        <v>1.0569956040624526</v>
      </c>
    </row>
    <row r="22" spans="1:4" x14ac:dyDescent="0.2">
      <c r="A22" t="s">
        <v>50</v>
      </c>
      <c r="B22" s="2">
        <v>17218</v>
      </c>
      <c r="C22" s="2">
        <v>12761</v>
      </c>
      <c r="D22" s="3">
        <v>1.3492672988010344</v>
      </c>
    </row>
    <row r="23" spans="1:4" x14ac:dyDescent="0.2">
      <c r="A23" t="s">
        <v>51</v>
      </c>
      <c r="B23" s="2">
        <v>12477</v>
      </c>
      <c r="C23" s="2">
        <v>11989</v>
      </c>
      <c r="D23" s="3">
        <v>1.0407039786470931</v>
      </c>
    </row>
    <row r="24" spans="1:4" x14ac:dyDescent="0.2">
      <c r="A24" t="s">
        <v>52</v>
      </c>
      <c r="B24" s="2">
        <v>11815</v>
      </c>
      <c r="C24" s="2">
        <v>11815</v>
      </c>
      <c r="D24" s="3">
        <v>1</v>
      </c>
    </row>
    <row r="25" spans="1:4" x14ac:dyDescent="0.2">
      <c r="A25" t="s">
        <v>53</v>
      </c>
      <c r="B25" s="2">
        <v>15190</v>
      </c>
      <c r="C25" s="2">
        <v>11578</v>
      </c>
      <c r="D25" s="3">
        <v>1.3119709794437726</v>
      </c>
    </row>
    <row r="26" spans="1:4" x14ac:dyDescent="0.2">
      <c r="A26" t="s">
        <v>54</v>
      </c>
      <c r="B26" s="2">
        <v>13509</v>
      </c>
      <c r="C26" s="2">
        <v>11294</v>
      </c>
      <c r="D26" s="3">
        <v>1.1961218346024438</v>
      </c>
    </row>
    <row r="27" spans="1:4" x14ac:dyDescent="0.2">
      <c r="A27" t="s">
        <v>55</v>
      </c>
      <c r="B27" s="2">
        <v>10243</v>
      </c>
      <c r="C27" s="2">
        <v>10243</v>
      </c>
      <c r="D27" s="3">
        <v>1</v>
      </c>
    </row>
    <row r="28" spans="1:4" x14ac:dyDescent="0.2">
      <c r="A28" t="s">
        <v>56</v>
      </c>
      <c r="B28" s="2">
        <v>11751</v>
      </c>
      <c r="C28" s="2">
        <v>9673</v>
      </c>
      <c r="D28" s="3">
        <v>1.2148247699782901</v>
      </c>
    </row>
    <row r="29" spans="1:4" x14ac:dyDescent="0.2">
      <c r="A29" t="s">
        <v>57</v>
      </c>
      <c r="B29" s="2">
        <v>9390</v>
      </c>
      <c r="C29" s="2">
        <v>9390</v>
      </c>
      <c r="D29" s="3">
        <v>1</v>
      </c>
    </row>
    <row r="30" spans="1:4" x14ac:dyDescent="0.2">
      <c r="A30" t="s">
        <v>58</v>
      </c>
      <c r="B30" s="2">
        <v>18734</v>
      </c>
      <c r="C30" s="2">
        <v>9365</v>
      </c>
      <c r="D30" s="3">
        <v>2.0004271222637482</v>
      </c>
    </row>
    <row r="31" spans="1:4" x14ac:dyDescent="0.2">
      <c r="A31" t="s">
        <v>59</v>
      </c>
      <c r="B31" s="2">
        <v>9500</v>
      </c>
      <c r="C31" s="2">
        <v>9084</v>
      </c>
      <c r="D31" s="3">
        <v>1.0457948040510787</v>
      </c>
    </row>
    <row r="32" spans="1:4" x14ac:dyDescent="0.2">
      <c r="A32" t="s">
        <v>60</v>
      </c>
      <c r="B32" s="2">
        <v>25847</v>
      </c>
      <c r="C32" s="2">
        <v>9071</v>
      </c>
      <c r="D32" s="3">
        <v>2.8494102083563004</v>
      </c>
    </row>
    <row r="33" spans="1:4" x14ac:dyDescent="0.2">
      <c r="A33" t="s">
        <v>61</v>
      </c>
      <c r="B33" s="2">
        <v>9028</v>
      </c>
      <c r="C33" s="2">
        <v>9028</v>
      </c>
      <c r="D33" s="3">
        <v>1</v>
      </c>
    </row>
    <row r="34" spans="1:4" x14ac:dyDescent="0.2">
      <c r="A34" t="s">
        <v>62</v>
      </c>
      <c r="B34" s="2">
        <v>9028</v>
      </c>
      <c r="C34" s="2">
        <v>9028</v>
      </c>
      <c r="D34" s="3">
        <v>1</v>
      </c>
    </row>
    <row r="35" spans="1:4" x14ac:dyDescent="0.2">
      <c r="A35" t="s">
        <v>63</v>
      </c>
      <c r="B35" s="2">
        <v>24299</v>
      </c>
      <c r="C35" s="2">
        <v>8472</v>
      </c>
      <c r="D35" s="3">
        <v>2.8681539187913128</v>
      </c>
    </row>
    <row r="36" spans="1:4" x14ac:dyDescent="0.2">
      <c r="A36" t="s">
        <v>64</v>
      </c>
      <c r="B36" s="2">
        <v>8909</v>
      </c>
      <c r="C36" s="2">
        <v>8319</v>
      </c>
      <c r="D36" s="3">
        <v>1.0709219858156029</v>
      </c>
    </row>
    <row r="37" spans="1:4" x14ac:dyDescent="0.2">
      <c r="A37" t="s">
        <v>65</v>
      </c>
      <c r="B37" s="2">
        <v>7912</v>
      </c>
      <c r="C37" s="2">
        <v>7912</v>
      </c>
      <c r="D37" s="3">
        <v>1</v>
      </c>
    </row>
    <row r="38" spans="1:4" x14ac:dyDescent="0.2">
      <c r="A38" t="s">
        <v>66</v>
      </c>
      <c r="B38" s="2">
        <v>8030</v>
      </c>
      <c r="C38" s="2">
        <v>7405</v>
      </c>
      <c r="D38" s="3">
        <v>1.0844024307900066</v>
      </c>
    </row>
    <row r="39" spans="1:4" x14ac:dyDescent="0.2">
      <c r="A39" t="s">
        <v>67</v>
      </c>
      <c r="B39" s="2">
        <v>7281</v>
      </c>
      <c r="C39" s="2">
        <v>7281</v>
      </c>
      <c r="D39" s="3">
        <v>1</v>
      </c>
    </row>
    <row r="40" spans="1:4" x14ac:dyDescent="0.2">
      <c r="A40" t="s">
        <v>68</v>
      </c>
      <c r="B40" s="2">
        <v>6895</v>
      </c>
      <c r="C40" s="2">
        <v>6895</v>
      </c>
      <c r="D40" s="3">
        <v>1</v>
      </c>
    </row>
    <row r="41" spans="1:4" x14ac:dyDescent="0.2">
      <c r="A41" t="s">
        <v>69</v>
      </c>
      <c r="B41" s="2">
        <v>4933</v>
      </c>
      <c r="C41" s="2">
        <v>4933</v>
      </c>
      <c r="D41" s="3">
        <v>1</v>
      </c>
    </row>
    <row r="42" spans="1:4" x14ac:dyDescent="0.2">
      <c r="A42" t="s">
        <v>70</v>
      </c>
      <c r="B42" s="2">
        <v>5272</v>
      </c>
      <c r="C42" s="2">
        <v>4713</v>
      </c>
      <c r="D42" s="3">
        <v>1.1186081052408232</v>
      </c>
    </row>
    <row r="43" spans="1:4" x14ac:dyDescent="0.2">
      <c r="A43" t="s">
        <v>71</v>
      </c>
      <c r="B43" s="2">
        <v>4567</v>
      </c>
      <c r="C43" s="2">
        <v>4254</v>
      </c>
      <c r="D43" s="3">
        <v>1.0735778091208275</v>
      </c>
    </row>
    <row r="44" spans="1:4" x14ac:dyDescent="0.2">
      <c r="A44" t="s">
        <v>72</v>
      </c>
      <c r="B44" s="2">
        <v>3959</v>
      </c>
      <c r="C44" s="2">
        <v>3959</v>
      </c>
      <c r="D44" s="3">
        <v>1</v>
      </c>
    </row>
    <row r="45" spans="1:4" x14ac:dyDescent="0.2">
      <c r="A45" t="s">
        <v>73</v>
      </c>
      <c r="B45" s="2">
        <v>5299</v>
      </c>
      <c r="C45" s="2">
        <v>3634</v>
      </c>
      <c r="D45" s="3">
        <v>1.4581728123280131</v>
      </c>
    </row>
    <row r="46" spans="1:4" x14ac:dyDescent="0.2">
      <c r="A46" t="s">
        <v>74</v>
      </c>
      <c r="B46" s="2">
        <v>4025</v>
      </c>
      <c r="C46" s="2">
        <v>3540</v>
      </c>
      <c r="D46" s="3">
        <v>1.1370056497175141</v>
      </c>
    </row>
    <row r="47" spans="1:4" x14ac:dyDescent="0.2">
      <c r="A47" t="s">
        <v>75</v>
      </c>
      <c r="B47" s="2">
        <v>2563</v>
      </c>
      <c r="C47" s="2">
        <v>2563</v>
      </c>
      <c r="D47" s="3">
        <v>1</v>
      </c>
    </row>
    <row r="48" spans="1:4" x14ac:dyDescent="0.2">
      <c r="A48" t="s">
        <v>76</v>
      </c>
      <c r="B48" s="2">
        <v>2545</v>
      </c>
      <c r="C48" s="2">
        <v>2545</v>
      </c>
      <c r="D48" s="3">
        <v>1</v>
      </c>
    </row>
    <row r="49" spans="1:4" x14ac:dyDescent="0.2">
      <c r="A49" t="s">
        <v>77</v>
      </c>
      <c r="B49" s="2">
        <v>2601</v>
      </c>
      <c r="C49" s="2">
        <v>2504</v>
      </c>
      <c r="D49" s="3">
        <v>1.0387380191693292</v>
      </c>
    </row>
    <row r="50" spans="1:4" x14ac:dyDescent="0.2">
      <c r="A50" t="s">
        <v>78</v>
      </c>
      <c r="B50" s="2">
        <v>2394</v>
      </c>
      <c r="C50" s="2">
        <v>2394</v>
      </c>
      <c r="D50" s="3">
        <v>1</v>
      </c>
    </row>
    <row r="51" spans="1:4" x14ac:dyDescent="0.2">
      <c r="A51" t="s">
        <v>79</v>
      </c>
      <c r="B51" s="2">
        <v>2267</v>
      </c>
      <c r="C51" s="2">
        <v>2267</v>
      </c>
      <c r="D51" s="3">
        <v>1</v>
      </c>
    </row>
    <row r="52" spans="1:4" x14ac:dyDescent="0.2">
      <c r="A52" t="s">
        <v>80</v>
      </c>
      <c r="B52" s="2">
        <v>2437</v>
      </c>
      <c r="C52" s="2">
        <v>2263</v>
      </c>
      <c r="D52" s="3">
        <v>1.0768890852850199</v>
      </c>
    </row>
    <row r="53" spans="1:4" x14ac:dyDescent="0.2">
      <c r="A53" t="s">
        <v>81</v>
      </c>
      <c r="B53" s="2">
        <v>2570</v>
      </c>
      <c r="C53" s="2">
        <v>2247</v>
      </c>
      <c r="D53" s="3">
        <v>1.1437472185135737</v>
      </c>
    </row>
    <row r="54" spans="1:4" x14ac:dyDescent="0.2">
      <c r="A54" t="s">
        <v>82</v>
      </c>
      <c r="B54" s="2">
        <v>3512</v>
      </c>
      <c r="C54" s="2">
        <v>2112</v>
      </c>
      <c r="D54" s="3">
        <v>1.6628787878787878</v>
      </c>
    </row>
    <row r="55" spans="1:4" x14ac:dyDescent="0.2">
      <c r="A55" t="s">
        <v>83</v>
      </c>
      <c r="B55" s="2">
        <v>2399</v>
      </c>
      <c r="C55" s="2">
        <v>2108</v>
      </c>
      <c r="D55" s="3">
        <v>1.1380455407969639</v>
      </c>
    </row>
    <row r="56" spans="1:4" x14ac:dyDescent="0.2">
      <c r="A56" t="s">
        <v>84</v>
      </c>
      <c r="B56" s="2">
        <v>1945</v>
      </c>
      <c r="C56" s="2">
        <v>1945</v>
      </c>
      <c r="D56" s="3">
        <v>1</v>
      </c>
    </row>
    <row r="57" spans="1:4" x14ac:dyDescent="0.2">
      <c r="A57" t="s">
        <v>85</v>
      </c>
      <c r="B57" s="2">
        <v>1825</v>
      </c>
      <c r="C57" s="2">
        <v>1825</v>
      </c>
      <c r="D57" s="3">
        <v>1</v>
      </c>
    </row>
    <row r="58" spans="1:4" x14ac:dyDescent="0.2">
      <c r="A58" t="s">
        <v>86</v>
      </c>
      <c r="B58" s="2">
        <v>1527</v>
      </c>
      <c r="C58" s="2">
        <v>1527</v>
      </c>
      <c r="D58" s="3">
        <v>1</v>
      </c>
    </row>
    <row r="59" spans="1:4" x14ac:dyDescent="0.2">
      <c r="A59" t="s">
        <v>87</v>
      </c>
      <c r="B59" s="2">
        <v>3011</v>
      </c>
      <c r="C59" s="2">
        <v>1467</v>
      </c>
      <c r="D59" s="3">
        <v>2.0524880708929789</v>
      </c>
    </row>
    <row r="60" spans="1:4" x14ac:dyDescent="0.2">
      <c r="A60" t="s">
        <v>88</v>
      </c>
      <c r="B60" s="2">
        <v>1454</v>
      </c>
      <c r="C60" s="2">
        <v>1454</v>
      </c>
      <c r="D60" s="3">
        <v>1</v>
      </c>
    </row>
    <row r="61" spans="1:4" x14ac:dyDescent="0.2">
      <c r="A61" t="s">
        <v>89</v>
      </c>
      <c r="B61" s="2">
        <v>1312</v>
      </c>
      <c r="C61" s="2">
        <v>1312</v>
      </c>
      <c r="D61" s="3">
        <v>1</v>
      </c>
    </row>
    <row r="62" spans="1:4" x14ac:dyDescent="0.2">
      <c r="A62" t="s">
        <v>90</v>
      </c>
      <c r="B62" s="2">
        <v>1256</v>
      </c>
      <c r="C62" s="2">
        <v>1256</v>
      </c>
      <c r="D62" s="3">
        <v>1</v>
      </c>
    </row>
    <row r="63" spans="1:4" x14ac:dyDescent="0.2">
      <c r="A63" t="s">
        <v>91</v>
      </c>
      <c r="B63" s="2">
        <v>1189</v>
      </c>
      <c r="C63" s="2">
        <v>1189</v>
      </c>
      <c r="D63" s="3">
        <v>1</v>
      </c>
    </row>
    <row r="64" spans="1:4" x14ac:dyDescent="0.2">
      <c r="A64" t="s">
        <v>92</v>
      </c>
      <c r="B64" s="2">
        <v>1257</v>
      </c>
      <c r="C64" s="2">
        <v>1154</v>
      </c>
      <c r="D64" s="3">
        <v>1.0892547660311958</v>
      </c>
    </row>
    <row r="65" spans="1:4" x14ac:dyDescent="0.2">
      <c r="A65" t="s">
        <v>93</v>
      </c>
      <c r="B65" s="2">
        <v>1059</v>
      </c>
      <c r="C65" s="2">
        <v>1059</v>
      </c>
      <c r="D65" s="3">
        <v>1</v>
      </c>
    </row>
    <row r="66" spans="1:4" x14ac:dyDescent="0.2">
      <c r="A66" t="s">
        <v>94</v>
      </c>
      <c r="B66" s="2">
        <v>1643</v>
      </c>
      <c r="C66" s="2">
        <v>1049</v>
      </c>
      <c r="D66" s="3">
        <v>1.5662535748331745</v>
      </c>
    </row>
    <row r="67" spans="1:4" x14ac:dyDescent="0.2">
      <c r="A67" t="s">
        <v>95</v>
      </c>
      <c r="B67" s="2">
        <v>1155</v>
      </c>
      <c r="C67" s="2">
        <v>984</v>
      </c>
      <c r="D67" s="3">
        <v>1.1737804878048781</v>
      </c>
    </row>
    <row r="68" spans="1:4" x14ac:dyDescent="0.2">
      <c r="A68" t="s">
        <v>96</v>
      </c>
      <c r="B68" s="2">
        <v>1188</v>
      </c>
      <c r="C68" s="2">
        <v>976</v>
      </c>
      <c r="D68" s="3">
        <v>1.2172131147540983</v>
      </c>
    </row>
    <row r="69" spans="1:4" x14ac:dyDescent="0.2">
      <c r="A69" t="s">
        <v>97</v>
      </c>
      <c r="B69" s="2">
        <v>970</v>
      </c>
      <c r="C69" s="2">
        <v>970</v>
      </c>
      <c r="D69" s="3">
        <v>1</v>
      </c>
    </row>
    <row r="70" spans="1:4" x14ac:dyDescent="0.2">
      <c r="A70" t="s">
        <v>98</v>
      </c>
      <c r="B70" s="2">
        <v>904</v>
      </c>
      <c r="C70" s="2">
        <v>904</v>
      </c>
      <c r="D70" s="3">
        <v>1</v>
      </c>
    </row>
    <row r="71" spans="1:4" x14ac:dyDescent="0.2">
      <c r="A71" t="s">
        <v>99</v>
      </c>
      <c r="B71" s="2">
        <v>850</v>
      </c>
      <c r="C71" s="2">
        <v>850</v>
      </c>
      <c r="D71" s="3">
        <v>1</v>
      </c>
    </row>
    <row r="72" spans="1:4" x14ac:dyDescent="0.2">
      <c r="A72" t="s">
        <v>100</v>
      </c>
      <c r="B72" s="2">
        <v>836</v>
      </c>
      <c r="C72" s="2">
        <v>836</v>
      </c>
      <c r="D72" s="3">
        <v>1</v>
      </c>
    </row>
    <row r="73" spans="1:4" x14ac:dyDescent="0.2">
      <c r="A73" t="s">
        <v>101</v>
      </c>
      <c r="B73" s="2">
        <v>789</v>
      </c>
      <c r="C73" s="2">
        <v>789</v>
      </c>
      <c r="D73" s="3">
        <v>1</v>
      </c>
    </row>
    <row r="74" spans="1:4" x14ac:dyDescent="0.2">
      <c r="A74" t="s">
        <v>102</v>
      </c>
      <c r="B74" s="2">
        <v>895</v>
      </c>
      <c r="C74" s="2">
        <v>758</v>
      </c>
      <c r="D74" s="3">
        <v>1.1807387862796834</v>
      </c>
    </row>
    <row r="75" spans="1:4" x14ac:dyDescent="0.2">
      <c r="A75" t="s">
        <v>103</v>
      </c>
      <c r="B75" s="2">
        <v>684</v>
      </c>
      <c r="C75" s="2">
        <v>684</v>
      </c>
      <c r="D75" s="3">
        <v>1</v>
      </c>
    </row>
    <row r="76" spans="1:4" x14ac:dyDescent="0.2">
      <c r="A76" t="s">
        <v>104</v>
      </c>
      <c r="B76" s="2">
        <v>683</v>
      </c>
      <c r="C76" s="2">
        <v>683</v>
      </c>
      <c r="D76" s="3">
        <v>1</v>
      </c>
    </row>
    <row r="77" spans="1:4" x14ac:dyDescent="0.2">
      <c r="A77" t="s">
        <v>105</v>
      </c>
      <c r="B77" s="2">
        <v>679</v>
      </c>
      <c r="C77" s="2">
        <v>679</v>
      </c>
      <c r="D77" s="3">
        <v>1</v>
      </c>
    </row>
    <row r="78" spans="1:4" x14ac:dyDescent="0.2">
      <c r="A78" t="s">
        <v>106</v>
      </c>
      <c r="B78" s="2">
        <v>662</v>
      </c>
      <c r="C78" s="2">
        <v>662</v>
      </c>
      <c r="D78" s="3">
        <v>1</v>
      </c>
    </row>
    <row r="79" spans="1:4" x14ac:dyDescent="0.2">
      <c r="A79" t="s">
        <v>107</v>
      </c>
      <c r="B79" s="2">
        <v>652</v>
      </c>
      <c r="C79" s="2">
        <v>652</v>
      </c>
      <c r="D79" s="3">
        <v>1</v>
      </c>
    </row>
    <row r="80" spans="1:4" x14ac:dyDescent="0.2">
      <c r="A80" t="s">
        <v>108</v>
      </c>
      <c r="B80" s="2">
        <v>602</v>
      </c>
      <c r="C80" s="2">
        <v>602</v>
      </c>
      <c r="D80" s="3">
        <v>1</v>
      </c>
    </row>
    <row r="81" spans="1:4" x14ac:dyDescent="0.2">
      <c r="A81" t="s">
        <v>109</v>
      </c>
      <c r="B81" s="2">
        <v>571</v>
      </c>
      <c r="C81" s="2">
        <v>571</v>
      </c>
      <c r="D81" s="3">
        <v>1</v>
      </c>
    </row>
    <row r="82" spans="1:4" x14ac:dyDescent="0.2">
      <c r="A82" t="s">
        <v>110</v>
      </c>
      <c r="B82" s="2">
        <v>541</v>
      </c>
      <c r="C82" s="2">
        <v>541</v>
      </c>
      <c r="D82" s="3">
        <v>1</v>
      </c>
    </row>
    <row r="83" spans="1:4" x14ac:dyDescent="0.2">
      <c r="A83" t="s">
        <v>111</v>
      </c>
      <c r="B83" s="2">
        <v>514</v>
      </c>
      <c r="C83" s="2">
        <v>514</v>
      </c>
      <c r="D83" s="3">
        <v>1</v>
      </c>
    </row>
    <row r="84" spans="1:4" x14ac:dyDescent="0.2">
      <c r="A84" t="s">
        <v>112</v>
      </c>
      <c r="B84" s="2">
        <v>508</v>
      </c>
      <c r="C84" s="2">
        <v>508</v>
      </c>
      <c r="D84" s="3">
        <v>1</v>
      </c>
    </row>
    <row r="85" spans="1:4" x14ac:dyDescent="0.2">
      <c r="A85" t="s">
        <v>113</v>
      </c>
      <c r="B85" s="2">
        <v>482</v>
      </c>
      <c r="C85" s="2">
        <v>482</v>
      </c>
      <c r="D85" s="3">
        <v>1</v>
      </c>
    </row>
    <row r="86" spans="1:4" x14ac:dyDescent="0.2">
      <c r="A86" t="s">
        <v>114</v>
      </c>
      <c r="B86" s="2">
        <v>468</v>
      </c>
      <c r="C86" s="2">
        <v>468</v>
      </c>
      <c r="D86" s="3">
        <v>1</v>
      </c>
    </row>
    <row r="87" spans="1:4" x14ac:dyDescent="0.2">
      <c r="A87" t="s">
        <v>115</v>
      </c>
      <c r="B87" s="2">
        <v>453</v>
      </c>
      <c r="C87" s="2">
        <v>453</v>
      </c>
      <c r="D87" s="3">
        <v>1</v>
      </c>
    </row>
    <row r="88" spans="1:4" x14ac:dyDescent="0.2">
      <c r="A88" t="s">
        <v>116</v>
      </c>
      <c r="B88" s="2">
        <v>412</v>
      </c>
      <c r="C88" s="2">
        <v>412</v>
      </c>
      <c r="D88" s="3">
        <v>1</v>
      </c>
    </row>
    <row r="89" spans="1:4" x14ac:dyDescent="0.2">
      <c r="A89" t="s">
        <v>117</v>
      </c>
      <c r="B89" s="2">
        <v>379</v>
      </c>
      <c r="C89" s="2">
        <v>379</v>
      </c>
      <c r="D89" s="3">
        <v>1</v>
      </c>
    </row>
    <row r="90" spans="1:4" x14ac:dyDescent="0.2">
      <c r="A90" t="s">
        <v>118</v>
      </c>
      <c r="B90" s="2">
        <v>316</v>
      </c>
      <c r="C90" s="2">
        <v>316</v>
      </c>
      <c r="D90" s="3">
        <v>1</v>
      </c>
    </row>
    <row r="91" spans="1:4" x14ac:dyDescent="0.2">
      <c r="A91" t="s">
        <v>119</v>
      </c>
      <c r="B91" s="2">
        <v>310</v>
      </c>
      <c r="C91" s="2">
        <v>310</v>
      </c>
      <c r="D91" s="3">
        <v>1</v>
      </c>
    </row>
    <row r="92" spans="1:4" x14ac:dyDescent="0.2">
      <c r="A92" t="s">
        <v>120</v>
      </c>
      <c r="B92" s="2">
        <v>260</v>
      </c>
      <c r="C92" s="2">
        <v>260</v>
      </c>
      <c r="D92" s="3">
        <v>1</v>
      </c>
    </row>
    <row r="93" spans="1:4" x14ac:dyDescent="0.2">
      <c r="A93" t="s">
        <v>121</v>
      </c>
      <c r="B93" s="2">
        <v>257</v>
      </c>
      <c r="C93" s="2">
        <v>257</v>
      </c>
      <c r="D93" s="3">
        <v>1</v>
      </c>
    </row>
    <row r="94" spans="1:4" x14ac:dyDescent="0.2">
      <c r="A94" t="s">
        <v>122</v>
      </c>
      <c r="B94" s="2">
        <v>197</v>
      </c>
      <c r="C94" s="2">
        <v>197</v>
      </c>
      <c r="D94" s="3">
        <v>1</v>
      </c>
    </row>
    <row r="95" spans="1:4" x14ac:dyDescent="0.2">
      <c r="A95" t="s">
        <v>123</v>
      </c>
      <c r="B95" s="2">
        <v>192</v>
      </c>
      <c r="C95" s="2">
        <v>192</v>
      </c>
      <c r="D95" s="3">
        <v>1</v>
      </c>
    </row>
    <row r="96" spans="1:4" x14ac:dyDescent="0.2">
      <c r="A96" t="s">
        <v>124</v>
      </c>
      <c r="B96" s="2">
        <v>185</v>
      </c>
      <c r="C96" s="2">
        <v>185</v>
      </c>
      <c r="D96" s="3">
        <v>1</v>
      </c>
    </row>
    <row r="97" spans="1:4" x14ac:dyDescent="0.2">
      <c r="A97" t="s">
        <v>125</v>
      </c>
      <c r="B97" s="2">
        <v>174</v>
      </c>
      <c r="C97" s="2">
        <v>174</v>
      </c>
      <c r="D97" s="3">
        <v>1</v>
      </c>
    </row>
    <row r="98" spans="1:4" x14ac:dyDescent="0.2">
      <c r="A98" t="s">
        <v>126</v>
      </c>
      <c r="B98" s="2">
        <v>194</v>
      </c>
      <c r="C98" s="2">
        <v>173</v>
      </c>
      <c r="D98" s="3">
        <v>1.1213872832369942</v>
      </c>
    </row>
    <row r="99" spans="1:4" x14ac:dyDescent="0.2">
      <c r="A99" t="s">
        <v>127</v>
      </c>
      <c r="B99" s="2">
        <v>166</v>
      </c>
      <c r="C99" s="2">
        <v>166</v>
      </c>
      <c r="D99" s="3">
        <v>1</v>
      </c>
    </row>
    <row r="100" spans="1:4" x14ac:dyDescent="0.2">
      <c r="A100" t="s">
        <v>128</v>
      </c>
      <c r="B100" s="2">
        <v>158</v>
      </c>
      <c r="C100" s="2">
        <v>158</v>
      </c>
      <c r="D100" s="3">
        <v>1</v>
      </c>
    </row>
    <row r="101" spans="1:4" x14ac:dyDescent="0.2">
      <c r="A101" t="s">
        <v>129</v>
      </c>
      <c r="B101" s="2">
        <v>155</v>
      </c>
      <c r="C101" s="2">
        <v>155</v>
      </c>
      <c r="D101" s="3">
        <v>1</v>
      </c>
    </row>
    <row r="102" spans="1:4" x14ac:dyDescent="0.2">
      <c r="A102" t="s">
        <v>130</v>
      </c>
      <c r="B102" s="2">
        <v>152</v>
      </c>
      <c r="C102" s="2">
        <v>152</v>
      </c>
      <c r="D102" s="3">
        <v>1</v>
      </c>
    </row>
    <row r="103" spans="1:4" x14ac:dyDescent="0.2">
      <c r="A103" t="s">
        <v>131</v>
      </c>
      <c r="B103" s="2">
        <v>146</v>
      </c>
      <c r="C103" s="2">
        <v>146</v>
      </c>
      <c r="D103" s="3">
        <v>1</v>
      </c>
    </row>
    <row r="104" spans="1:4" x14ac:dyDescent="0.2">
      <c r="A104" t="s">
        <v>132</v>
      </c>
      <c r="B104" s="2">
        <v>139</v>
      </c>
      <c r="C104" s="2">
        <v>139</v>
      </c>
      <c r="D104" s="3">
        <v>1</v>
      </c>
    </row>
    <row r="105" spans="1:4" x14ac:dyDescent="0.2">
      <c r="A105" t="s">
        <v>133</v>
      </c>
      <c r="B105" s="2">
        <v>121</v>
      </c>
      <c r="C105" s="2">
        <v>121</v>
      </c>
      <c r="D105" s="3">
        <v>1</v>
      </c>
    </row>
    <row r="106" spans="1:4" x14ac:dyDescent="0.2">
      <c r="A106" t="s">
        <v>134</v>
      </c>
      <c r="B106" s="2">
        <v>120</v>
      </c>
      <c r="C106" s="2">
        <v>120</v>
      </c>
      <c r="D106" s="3">
        <v>1</v>
      </c>
    </row>
    <row r="107" spans="1:4" x14ac:dyDescent="0.2">
      <c r="A107" t="s">
        <v>135</v>
      </c>
      <c r="B107" s="2">
        <v>119</v>
      </c>
      <c r="C107" s="2">
        <v>119</v>
      </c>
      <c r="D107" s="3">
        <v>1</v>
      </c>
    </row>
    <row r="108" spans="1:4" x14ac:dyDescent="0.2">
      <c r="A108" t="s">
        <v>136</v>
      </c>
      <c r="B108" s="2">
        <v>108</v>
      </c>
      <c r="C108" s="2">
        <v>108</v>
      </c>
      <c r="D108" s="3">
        <v>1</v>
      </c>
    </row>
    <row r="109" spans="1:4" x14ac:dyDescent="0.2">
      <c r="A109" t="s">
        <v>137</v>
      </c>
      <c r="B109" s="2">
        <v>95</v>
      </c>
      <c r="C109" s="2">
        <v>95</v>
      </c>
      <c r="D109" s="3">
        <v>1</v>
      </c>
    </row>
    <row r="110" spans="1:4" x14ac:dyDescent="0.2">
      <c r="A110" t="s">
        <v>138</v>
      </c>
      <c r="B110" s="2">
        <v>95</v>
      </c>
      <c r="C110" s="2">
        <v>95</v>
      </c>
      <c r="D110" s="3">
        <v>1</v>
      </c>
    </row>
    <row r="111" spans="1:4" x14ac:dyDescent="0.2">
      <c r="A111" t="s">
        <v>139</v>
      </c>
      <c r="B111" s="2">
        <v>83</v>
      </c>
      <c r="C111" s="2">
        <v>83</v>
      </c>
      <c r="D111" s="3">
        <v>1</v>
      </c>
    </row>
    <row r="112" spans="1:4" x14ac:dyDescent="0.2">
      <c r="A112" t="s">
        <v>140</v>
      </c>
      <c r="B112" s="2">
        <v>82</v>
      </c>
      <c r="C112" s="2">
        <v>82</v>
      </c>
      <c r="D112" s="3">
        <v>1</v>
      </c>
    </row>
    <row r="113" spans="1:4" x14ac:dyDescent="0.2">
      <c r="A113" t="s">
        <v>141</v>
      </c>
      <c r="B113" s="2">
        <v>82</v>
      </c>
      <c r="C113" s="2">
        <v>82</v>
      </c>
      <c r="D113" s="3">
        <v>1</v>
      </c>
    </row>
    <row r="114" spans="1:4" x14ac:dyDescent="0.2">
      <c r="A114" t="s">
        <v>142</v>
      </c>
      <c r="B114" s="2">
        <v>70</v>
      </c>
      <c r="C114" s="2">
        <v>70</v>
      </c>
      <c r="D114" s="3">
        <v>1</v>
      </c>
    </row>
    <row r="115" spans="1:4" x14ac:dyDescent="0.2">
      <c r="A115" t="s">
        <v>143</v>
      </c>
      <c r="B115" s="2">
        <v>67</v>
      </c>
      <c r="C115" s="2">
        <v>67</v>
      </c>
      <c r="D115" s="3">
        <v>1</v>
      </c>
    </row>
    <row r="116" spans="1:4" x14ac:dyDescent="0.2">
      <c r="A116" t="s">
        <v>144</v>
      </c>
      <c r="B116" s="2">
        <v>67</v>
      </c>
      <c r="C116" s="2">
        <v>67</v>
      </c>
      <c r="D116" s="3">
        <v>1</v>
      </c>
    </row>
    <row r="117" spans="1:4" x14ac:dyDescent="0.2">
      <c r="A117" t="s">
        <v>145</v>
      </c>
      <c r="B117" s="2">
        <v>67</v>
      </c>
      <c r="C117" s="2">
        <v>67</v>
      </c>
      <c r="D117" s="3">
        <v>1</v>
      </c>
    </row>
    <row r="118" spans="1:4" x14ac:dyDescent="0.2">
      <c r="A118" t="s">
        <v>146</v>
      </c>
      <c r="B118" s="2">
        <v>63</v>
      </c>
      <c r="C118" s="2">
        <v>63</v>
      </c>
      <c r="D118" s="3">
        <v>1</v>
      </c>
    </row>
    <row r="119" spans="1:4" x14ac:dyDescent="0.2">
      <c r="A119" t="s">
        <v>147</v>
      </c>
      <c r="B119" s="2">
        <v>56</v>
      </c>
      <c r="C119" s="2">
        <v>56</v>
      </c>
      <c r="D119" s="3">
        <v>1</v>
      </c>
    </row>
    <row r="120" spans="1:4" x14ac:dyDescent="0.2">
      <c r="A120" t="s">
        <v>148</v>
      </c>
      <c r="B120" s="2">
        <v>47</v>
      </c>
      <c r="C120" s="2">
        <v>47</v>
      </c>
      <c r="D120" s="3">
        <v>1</v>
      </c>
    </row>
    <row r="121" spans="1:4" x14ac:dyDescent="0.2">
      <c r="A121" t="s">
        <v>149</v>
      </c>
      <c r="B121" s="2">
        <v>46</v>
      </c>
      <c r="C121" s="2">
        <v>46</v>
      </c>
      <c r="D121" s="3">
        <v>1</v>
      </c>
    </row>
    <row r="122" spans="1:4" x14ac:dyDescent="0.2">
      <c r="A122" t="s">
        <v>150</v>
      </c>
      <c r="B122" s="2">
        <v>46</v>
      </c>
      <c r="C122" s="2">
        <v>46</v>
      </c>
      <c r="D122" s="3">
        <v>1</v>
      </c>
    </row>
    <row r="123" spans="1:4" x14ac:dyDescent="0.2">
      <c r="A123" t="s">
        <v>151</v>
      </c>
      <c r="B123" s="2">
        <v>45</v>
      </c>
      <c r="C123" s="2">
        <v>45</v>
      </c>
      <c r="D123" s="3">
        <v>1</v>
      </c>
    </row>
    <row r="124" spans="1:4" x14ac:dyDescent="0.2">
      <c r="A124" t="s">
        <v>152</v>
      </c>
      <c r="B124" s="2">
        <v>44</v>
      </c>
      <c r="C124" s="2">
        <v>44</v>
      </c>
      <c r="D124" s="3">
        <v>1</v>
      </c>
    </row>
    <row r="125" spans="1:4" x14ac:dyDescent="0.2">
      <c r="A125" t="s">
        <v>153</v>
      </c>
      <c r="B125" s="2">
        <v>44</v>
      </c>
      <c r="C125" s="2">
        <v>44</v>
      </c>
      <c r="D125" s="3">
        <v>1</v>
      </c>
    </row>
    <row r="126" spans="1:4" x14ac:dyDescent="0.2">
      <c r="A126" t="s">
        <v>154</v>
      </c>
      <c r="B126" s="2">
        <v>36</v>
      </c>
      <c r="C126" s="2">
        <v>36</v>
      </c>
      <c r="D126" s="3">
        <v>1</v>
      </c>
    </row>
    <row r="127" spans="1:4" x14ac:dyDescent="0.2">
      <c r="A127" t="s">
        <v>155</v>
      </c>
      <c r="B127" s="2">
        <v>36</v>
      </c>
      <c r="C127" s="2">
        <v>36</v>
      </c>
      <c r="D127" s="3">
        <v>1</v>
      </c>
    </row>
    <row r="128" spans="1:4" x14ac:dyDescent="0.2">
      <c r="A128" t="s">
        <v>156</v>
      </c>
      <c r="B128" s="2">
        <v>33</v>
      </c>
      <c r="C128" s="2">
        <v>33</v>
      </c>
      <c r="D128" s="3">
        <v>1</v>
      </c>
    </row>
    <row r="129" spans="1:4" x14ac:dyDescent="0.2">
      <c r="A129" t="s">
        <v>157</v>
      </c>
      <c r="B129" s="2">
        <v>33</v>
      </c>
      <c r="C129" s="2">
        <v>33</v>
      </c>
      <c r="D129" s="3">
        <v>1</v>
      </c>
    </row>
    <row r="130" spans="1:4" x14ac:dyDescent="0.2">
      <c r="A130" t="s">
        <v>158</v>
      </c>
      <c r="B130" s="2">
        <v>30</v>
      </c>
      <c r="C130" s="2">
        <v>30</v>
      </c>
      <c r="D130" s="3">
        <v>1</v>
      </c>
    </row>
    <row r="131" spans="1:4" x14ac:dyDescent="0.2">
      <c r="A131" t="s">
        <v>159</v>
      </c>
      <c r="B131" s="2">
        <v>29</v>
      </c>
      <c r="C131" s="2">
        <v>29</v>
      </c>
      <c r="D131" s="3">
        <v>1</v>
      </c>
    </row>
    <row r="132" spans="1:4" x14ac:dyDescent="0.2">
      <c r="A132" t="s">
        <v>160</v>
      </c>
      <c r="B132" s="2">
        <v>29</v>
      </c>
      <c r="C132" s="2">
        <v>29</v>
      </c>
      <c r="D132" s="3">
        <v>1</v>
      </c>
    </row>
    <row r="133" spans="1:4" x14ac:dyDescent="0.2">
      <c r="A133" t="s">
        <v>161</v>
      </c>
      <c r="B133" s="2">
        <v>27</v>
      </c>
      <c r="C133" s="2">
        <v>27</v>
      </c>
      <c r="D133" s="3">
        <v>1</v>
      </c>
    </row>
    <row r="134" spans="1:4" x14ac:dyDescent="0.2">
      <c r="A134" t="s">
        <v>162</v>
      </c>
      <c r="B134" s="2">
        <v>26</v>
      </c>
      <c r="C134" s="2">
        <v>26</v>
      </c>
      <c r="D134" s="3">
        <v>1</v>
      </c>
    </row>
    <row r="135" spans="1:4" x14ac:dyDescent="0.2">
      <c r="A135" t="s">
        <v>163</v>
      </c>
      <c r="B135" s="2">
        <v>26</v>
      </c>
      <c r="C135" s="2">
        <v>26</v>
      </c>
      <c r="D135" s="3">
        <v>1</v>
      </c>
    </row>
    <row r="136" spans="1:4" x14ac:dyDescent="0.2">
      <c r="A136" t="s">
        <v>164</v>
      </c>
      <c r="B136" s="2">
        <v>24</v>
      </c>
      <c r="C136" s="2">
        <v>24</v>
      </c>
      <c r="D136" s="3">
        <v>1</v>
      </c>
    </row>
    <row r="137" spans="1:4" x14ac:dyDescent="0.2">
      <c r="A137" t="s">
        <v>165</v>
      </c>
      <c r="B137" s="2">
        <v>23</v>
      </c>
      <c r="C137" s="2">
        <v>23</v>
      </c>
      <c r="D137" s="3">
        <v>1</v>
      </c>
    </row>
    <row r="138" spans="1:4" x14ac:dyDescent="0.2">
      <c r="A138" t="s">
        <v>166</v>
      </c>
      <c r="B138" s="2">
        <v>22</v>
      </c>
      <c r="C138" s="2">
        <v>22</v>
      </c>
      <c r="D138" s="3">
        <v>1</v>
      </c>
    </row>
    <row r="139" spans="1:4" x14ac:dyDescent="0.2">
      <c r="A139" t="s">
        <v>167</v>
      </c>
      <c r="B139" s="2">
        <v>21</v>
      </c>
      <c r="C139" s="2">
        <v>21</v>
      </c>
      <c r="D139" s="3">
        <v>1</v>
      </c>
    </row>
    <row r="140" spans="1:4" x14ac:dyDescent="0.2">
      <c r="A140" t="s">
        <v>168</v>
      </c>
      <c r="B140" s="2">
        <v>21</v>
      </c>
      <c r="C140" s="2">
        <v>21</v>
      </c>
      <c r="D140" s="3">
        <v>1</v>
      </c>
    </row>
    <row r="141" spans="1:4" x14ac:dyDescent="0.2">
      <c r="A141" t="s">
        <v>169</v>
      </c>
      <c r="B141" s="2">
        <v>20</v>
      </c>
      <c r="C141" s="2">
        <v>20</v>
      </c>
      <c r="D141" s="3">
        <v>1</v>
      </c>
    </row>
    <row r="142" spans="1:4" x14ac:dyDescent="0.2">
      <c r="A142" t="s">
        <v>170</v>
      </c>
      <c r="B142" s="2">
        <v>19</v>
      </c>
      <c r="C142" s="2">
        <v>19</v>
      </c>
      <c r="D142" s="3">
        <v>1</v>
      </c>
    </row>
    <row r="143" spans="1:4" x14ac:dyDescent="0.2">
      <c r="A143" t="s">
        <v>171</v>
      </c>
      <c r="B143" s="2">
        <v>18</v>
      </c>
      <c r="C143" s="2">
        <v>18</v>
      </c>
      <c r="D143" s="3">
        <v>1</v>
      </c>
    </row>
    <row r="144" spans="1:4" x14ac:dyDescent="0.2">
      <c r="A144" t="s">
        <v>172</v>
      </c>
      <c r="B144" s="2">
        <v>17</v>
      </c>
      <c r="C144" s="2">
        <v>17</v>
      </c>
      <c r="D144" s="3">
        <v>1</v>
      </c>
    </row>
    <row r="145" spans="1:4" x14ac:dyDescent="0.2">
      <c r="A145" t="s">
        <v>173</v>
      </c>
      <c r="B145" s="2">
        <v>17</v>
      </c>
      <c r="C145" s="2">
        <v>17</v>
      </c>
      <c r="D145" s="3">
        <v>1</v>
      </c>
    </row>
    <row r="146" spans="1:4" x14ac:dyDescent="0.2">
      <c r="A146" t="s">
        <v>174</v>
      </c>
      <c r="B146" s="2">
        <v>16</v>
      </c>
      <c r="C146" s="2">
        <v>16</v>
      </c>
      <c r="D146" s="3">
        <v>1</v>
      </c>
    </row>
    <row r="147" spans="1:4" x14ac:dyDescent="0.2">
      <c r="A147" t="s">
        <v>175</v>
      </c>
      <c r="B147" s="2">
        <v>16</v>
      </c>
      <c r="C147" s="2">
        <v>16</v>
      </c>
      <c r="D147" s="3">
        <v>1</v>
      </c>
    </row>
    <row r="148" spans="1:4" x14ac:dyDescent="0.2">
      <c r="A148" t="s">
        <v>176</v>
      </c>
      <c r="B148" s="2">
        <v>15</v>
      </c>
      <c r="C148" s="2">
        <v>15</v>
      </c>
      <c r="D148" s="3">
        <v>1</v>
      </c>
    </row>
    <row r="149" spans="1:4" x14ac:dyDescent="0.2">
      <c r="A149" t="s">
        <v>177</v>
      </c>
      <c r="B149" s="2">
        <v>14</v>
      </c>
      <c r="C149" s="2">
        <v>14</v>
      </c>
      <c r="D149" s="3">
        <v>1</v>
      </c>
    </row>
    <row r="150" spans="1:4" x14ac:dyDescent="0.2">
      <c r="A150" t="s">
        <v>178</v>
      </c>
      <c r="B150" s="2">
        <v>13</v>
      </c>
      <c r="C150" s="2">
        <v>13</v>
      </c>
      <c r="D150" s="3">
        <v>1</v>
      </c>
    </row>
    <row r="151" spans="1:4" x14ac:dyDescent="0.2">
      <c r="A151" t="s">
        <v>179</v>
      </c>
      <c r="B151" s="2">
        <v>12</v>
      </c>
      <c r="C151" s="2">
        <v>12</v>
      </c>
      <c r="D151" s="3">
        <v>1</v>
      </c>
    </row>
    <row r="152" spans="1:4" x14ac:dyDescent="0.2">
      <c r="A152" t="s">
        <v>180</v>
      </c>
      <c r="B152" s="2">
        <v>11</v>
      </c>
      <c r="C152" s="2">
        <v>11</v>
      </c>
      <c r="D152" s="3">
        <v>1</v>
      </c>
    </row>
    <row r="153" spans="1:4" x14ac:dyDescent="0.2">
      <c r="A153" t="s">
        <v>181</v>
      </c>
      <c r="B153" s="2">
        <v>10</v>
      </c>
      <c r="C153" s="2">
        <v>10</v>
      </c>
      <c r="D153" s="3">
        <v>1</v>
      </c>
    </row>
    <row r="154" spans="1:4" x14ac:dyDescent="0.2">
      <c r="A154" t="s">
        <v>182</v>
      </c>
      <c r="B154" s="2">
        <v>9</v>
      </c>
      <c r="C154" s="2">
        <v>9</v>
      </c>
      <c r="D154" s="3">
        <v>1</v>
      </c>
    </row>
    <row r="155" spans="1:4" x14ac:dyDescent="0.2">
      <c r="A155" t="s">
        <v>183</v>
      </c>
      <c r="B155" s="2">
        <v>9</v>
      </c>
      <c r="C155" s="2">
        <v>9</v>
      </c>
      <c r="D155" s="3">
        <v>1</v>
      </c>
    </row>
    <row r="156" spans="1:4" x14ac:dyDescent="0.2">
      <c r="A156" t="s">
        <v>184</v>
      </c>
      <c r="B156" s="2">
        <v>9</v>
      </c>
      <c r="C156" s="2">
        <v>9</v>
      </c>
      <c r="D156" s="3">
        <v>1</v>
      </c>
    </row>
    <row r="157" spans="1:4" x14ac:dyDescent="0.2">
      <c r="A157" t="s">
        <v>185</v>
      </c>
      <c r="B157" s="2">
        <v>9</v>
      </c>
      <c r="C157" s="2">
        <v>9</v>
      </c>
      <c r="D157" s="3">
        <v>1</v>
      </c>
    </row>
    <row r="158" spans="1:4" x14ac:dyDescent="0.2">
      <c r="A158" t="s">
        <v>186</v>
      </c>
      <c r="B158" s="2">
        <v>7</v>
      </c>
      <c r="C158" s="2">
        <v>7</v>
      </c>
      <c r="D158" s="3">
        <v>1</v>
      </c>
    </row>
    <row r="159" spans="1:4" x14ac:dyDescent="0.2">
      <c r="A159" t="s">
        <v>187</v>
      </c>
      <c r="B159" s="2">
        <v>6</v>
      </c>
      <c r="C159" s="2">
        <v>6</v>
      </c>
      <c r="D159" s="3">
        <v>1</v>
      </c>
    </row>
    <row r="160" spans="1:4" x14ac:dyDescent="0.2">
      <c r="A160" t="s">
        <v>188</v>
      </c>
      <c r="B160" s="2">
        <v>4</v>
      </c>
      <c r="C160" s="2">
        <v>4</v>
      </c>
      <c r="D160" s="3">
        <v>1</v>
      </c>
    </row>
    <row r="161" spans="1:4" x14ac:dyDescent="0.2">
      <c r="A161" t="s">
        <v>189</v>
      </c>
      <c r="B161" s="2">
        <v>4</v>
      </c>
      <c r="C161" s="2">
        <v>4</v>
      </c>
      <c r="D161" s="3">
        <v>1</v>
      </c>
    </row>
    <row r="162" spans="1:4" x14ac:dyDescent="0.2">
      <c r="A162" t="s">
        <v>190</v>
      </c>
      <c r="B162" s="2">
        <v>3</v>
      </c>
      <c r="C162" s="2">
        <v>3</v>
      </c>
      <c r="D162" s="3">
        <v>1</v>
      </c>
    </row>
    <row r="163" spans="1:4" x14ac:dyDescent="0.2">
      <c r="A163" t="s">
        <v>191</v>
      </c>
      <c r="B163" s="2">
        <v>3</v>
      </c>
      <c r="C163" s="2">
        <v>3</v>
      </c>
      <c r="D163" s="3">
        <v>1</v>
      </c>
    </row>
    <row r="164" spans="1:4" x14ac:dyDescent="0.2">
      <c r="A164" t="s">
        <v>192</v>
      </c>
      <c r="B164" s="2">
        <v>2</v>
      </c>
      <c r="C164" s="2">
        <v>2</v>
      </c>
      <c r="D164" s="3">
        <v>1</v>
      </c>
    </row>
    <row r="165" spans="1:4" x14ac:dyDescent="0.2">
      <c r="A165" t="s">
        <v>193</v>
      </c>
      <c r="B165" s="2">
        <v>2</v>
      </c>
      <c r="C165" s="2">
        <v>2</v>
      </c>
      <c r="D165" s="3">
        <v>1</v>
      </c>
    </row>
    <row r="166" spans="1:4" x14ac:dyDescent="0.2">
      <c r="A166" t="s">
        <v>194</v>
      </c>
      <c r="B166" s="2">
        <v>1</v>
      </c>
      <c r="C166" s="2">
        <v>1</v>
      </c>
      <c r="D166" s="3">
        <v>1</v>
      </c>
    </row>
    <row r="167" spans="1:4" x14ac:dyDescent="0.2">
      <c r="A167" t="s">
        <v>195</v>
      </c>
      <c r="B167" s="2">
        <v>1</v>
      </c>
      <c r="C167" s="2">
        <v>1</v>
      </c>
      <c r="D167" s="3">
        <v>1</v>
      </c>
    </row>
  </sheetData>
  <conditionalFormatting sqref="D4:D16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50F3-75BB-482E-9AD7-33391182A4F5}">
  <dimension ref="A1:K83"/>
  <sheetViews>
    <sheetView tabSelected="1" topLeftCell="C7" zoomScale="134" zoomScaleNormal="129" workbookViewId="0">
      <selection activeCell="G10" sqref="G10"/>
    </sheetView>
  </sheetViews>
  <sheetFormatPr baseColWidth="10" defaultColWidth="8.83203125" defaultRowHeight="15" x14ac:dyDescent="0.2"/>
  <cols>
    <col min="1" max="1" width="33.5" customWidth="1"/>
    <col min="2" max="2" width="22.33203125" customWidth="1"/>
    <col min="3" max="3" width="17.1640625" customWidth="1"/>
    <col min="4" max="4" width="7" bestFit="1" customWidth="1"/>
    <col min="5" max="5" width="11.1640625" style="5" customWidth="1"/>
    <col min="6" max="6" width="28.5" bestFit="1" customWidth="1"/>
    <col min="7" max="7" width="13.33203125" bestFit="1" customWidth="1"/>
    <col min="8" max="8" width="41.33203125" customWidth="1"/>
  </cols>
  <sheetData>
    <row r="1" spans="1:11" ht="48" x14ac:dyDescent="0.2">
      <c r="A1" s="6" t="s">
        <v>196</v>
      </c>
      <c r="B1" s="6" t="s">
        <v>197</v>
      </c>
      <c r="C1" s="6" t="s">
        <v>30</v>
      </c>
      <c r="D1" s="6" t="s">
        <v>198</v>
      </c>
      <c r="E1" s="6" t="s">
        <v>199</v>
      </c>
      <c r="F1" s="6" t="s">
        <v>200</v>
      </c>
      <c r="G1" s="6" t="s">
        <v>201</v>
      </c>
      <c r="H1" s="6" t="s">
        <v>202</v>
      </c>
      <c r="I1" s="6" t="s">
        <v>203</v>
      </c>
      <c r="J1" s="6" t="s">
        <v>204</v>
      </c>
      <c r="K1" s="6" t="s">
        <v>205</v>
      </c>
    </row>
    <row r="2" spans="1:11" ht="64" x14ac:dyDescent="0.2">
      <c r="A2" s="5" t="s">
        <v>37</v>
      </c>
      <c r="B2" s="5" t="s">
        <v>206</v>
      </c>
      <c r="C2" s="9">
        <v>39892</v>
      </c>
      <c r="D2" s="10">
        <f>C2/SUM(($C$2:$C$83))</f>
        <v>0.16056866391350899</v>
      </c>
      <c r="E2" s="5" t="s">
        <v>207</v>
      </c>
      <c r="F2" s="5" t="s">
        <v>208</v>
      </c>
      <c r="G2" s="5"/>
      <c r="H2" s="5"/>
      <c r="I2" s="5" t="s">
        <v>209</v>
      </c>
      <c r="J2" s="5" t="s">
        <v>209</v>
      </c>
      <c r="K2" s="5">
        <v>2</v>
      </c>
    </row>
    <row r="3" spans="1:11" ht="32" x14ac:dyDescent="0.2">
      <c r="A3" s="5" t="s">
        <v>40</v>
      </c>
      <c r="B3" s="5" t="s">
        <v>210</v>
      </c>
      <c r="C3" s="9">
        <v>28035</v>
      </c>
      <c r="D3" s="10">
        <f t="shared" ref="D3:D66" si="0">C3/SUM(($C$2:$C$83))</f>
        <v>0.11284323906585843</v>
      </c>
      <c r="E3" s="5" t="s">
        <v>211</v>
      </c>
      <c r="F3" s="5"/>
      <c r="G3" s="5" t="s">
        <v>212</v>
      </c>
      <c r="H3" s="5"/>
      <c r="I3" s="5" t="s">
        <v>209</v>
      </c>
      <c r="J3" s="5" t="s">
        <v>213</v>
      </c>
      <c r="K3" s="5">
        <v>2</v>
      </c>
    </row>
    <row r="4" spans="1:11" ht="32" x14ac:dyDescent="0.2">
      <c r="A4" s="5" t="s">
        <v>32</v>
      </c>
      <c r="B4" s="5" t="s">
        <v>214</v>
      </c>
      <c r="C4" s="9">
        <v>27545</v>
      </c>
      <c r="D4" s="10">
        <f t="shared" si="0"/>
        <v>0.11087094774635528</v>
      </c>
      <c r="E4" s="5" t="s">
        <v>207</v>
      </c>
      <c r="F4" s="5" t="s">
        <v>215</v>
      </c>
      <c r="G4" s="5"/>
      <c r="H4" s="5"/>
      <c r="I4" s="5" t="s">
        <v>209</v>
      </c>
      <c r="J4" s="5" t="s">
        <v>216</v>
      </c>
      <c r="K4" s="5">
        <v>1</v>
      </c>
    </row>
    <row r="5" spans="1:11" ht="80" x14ac:dyDescent="0.2">
      <c r="A5" s="5" t="s">
        <v>41</v>
      </c>
      <c r="B5" s="5" t="s">
        <v>217</v>
      </c>
      <c r="C5" s="9">
        <v>25721</v>
      </c>
      <c r="D5" s="10">
        <f t="shared" si="0"/>
        <v>0.10352919393661297</v>
      </c>
      <c r="E5" s="5" t="s">
        <v>218</v>
      </c>
      <c r="F5" s="5"/>
      <c r="G5" s="5"/>
      <c r="H5" s="5" t="s">
        <v>219</v>
      </c>
      <c r="I5" s="5" t="s">
        <v>209</v>
      </c>
      <c r="J5" s="5" t="s">
        <v>216</v>
      </c>
      <c r="K5" s="5">
        <v>2</v>
      </c>
    </row>
    <row r="6" spans="1:11" ht="16" x14ac:dyDescent="0.2">
      <c r="A6" s="5" t="s">
        <v>33</v>
      </c>
      <c r="B6" s="5" t="s">
        <v>220</v>
      </c>
      <c r="C6" s="9">
        <v>13075</v>
      </c>
      <c r="D6" s="10">
        <f t="shared" si="0"/>
        <v>5.2627977556129801E-2</v>
      </c>
      <c r="E6" s="5" t="s">
        <v>207</v>
      </c>
      <c r="F6" s="5" t="s">
        <v>215</v>
      </c>
      <c r="G6" s="5"/>
      <c r="H6" s="5"/>
      <c r="I6" s="5" t="s">
        <v>209</v>
      </c>
      <c r="J6" s="5" t="s">
        <v>216</v>
      </c>
      <c r="K6" s="5">
        <v>1</v>
      </c>
    </row>
    <row r="7" spans="1:11" ht="80" x14ac:dyDescent="0.2">
      <c r="A7" s="5" t="s">
        <v>44</v>
      </c>
      <c r="B7" s="18" t="s">
        <v>221</v>
      </c>
      <c r="C7" s="9">
        <v>12010</v>
      </c>
      <c r="D7" s="10">
        <f t="shared" si="0"/>
        <v>4.8341262749454599E-2</v>
      </c>
      <c r="E7" s="5" t="s">
        <v>222</v>
      </c>
      <c r="F7" s="5"/>
      <c r="G7" s="5"/>
      <c r="H7" s="5" t="s">
        <v>223</v>
      </c>
      <c r="I7" s="5" t="s">
        <v>209</v>
      </c>
      <c r="J7" s="5" t="s">
        <v>216</v>
      </c>
      <c r="K7" s="5">
        <v>2</v>
      </c>
    </row>
    <row r="8" spans="1:11" ht="16" x14ac:dyDescent="0.2">
      <c r="A8" s="5" t="s">
        <v>36</v>
      </c>
      <c r="B8" s="5" t="s">
        <v>224</v>
      </c>
      <c r="C8" s="9">
        <v>11987</v>
      </c>
      <c r="D8" s="10">
        <f t="shared" si="0"/>
        <v>4.8248685809967717E-2</v>
      </c>
      <c r="E8" s="5" t="s">
        <v>207</v>
      </c>
      <c r="F8" s="5" t="s">
        <v>215</v>
      </c>
      <c r="G8" s="5"/>
      <c r="H8" s="5"/>
      <c r="I8" s="5" t="s">
        <v>209</v>
      </c>
      <c r="J8" s="5" t="s">
        <v>216</v>
      </c>
      <c r="K8" s="5">
        <v>1</v>
      </c>
    </row>
    <row r="9" spans="1:11" ht="96" x14ac:dyDescent="0.2">
      <c r="A9" s="5" t="s">
        <v>55</v>
      </c>
      <c r="B9" s="5" t="s">
        <v>225</v>
      </c>
      <c r="C9" s="11">
        <v>9640</v>
      </c>
      <c r="D9" s="12">
        <f t="shared" si="0"/>
        <v>3.8801812897980216E-2</v>
      </c>
      <c r="E9" s="5" t="s">
        <v>226</v>
      </c>
      <c r="F9" s="5" t="s">
        <v>227</v>
      </c>
      <c r="G9" s="5" t="s">
        <v>212</v>
      </c>
      <c r="H9" s="5" t="s">
        <v>228</v>
      </c>
      <c r="I9" s="5" t="s">
        <v>209</v>
      </c>
      <c r="J9" s="5" t="s">
        <v>213</v>
      </c>
      <c r="K9" s="5">
        <v>1</v>
      </c>
    </row>
    <row r="10" spans="1:11" ht="62.25" customHeight="1" x14ac:dyDescent="0.2">
      <c r="A10" s="5" t="s">
        <v>58</v>
      </c>
      <c r="B10" s="5" t="s">
        <v>229</v>
      </c>
      <c r="C10" s="11">
        <v>9358</v>
      </c>
      <c r="D10" s="12">
        <f t="shared" si="0"/>
        <v>3.7666739118184529E-2</v>
      </c>
      <c r="E10" s="5" t="s">
        <v>226</v>
      </c>
      <c r="F10" s="5"/>
      <c r="G10" s="5"/>
      <c r="H10" s="5" t="s">
        <v>295</v>
      </c>
      <c r="I10" s="5" t="s">
        <v>213</v>
      </c>
      <c r="J10" s="5" t="s">
        <v>216</v>
      </c>
      <c r="K10" s="5">
        <v>2</v>
      </c>
    </row>
    <row r="11" spans="1:11" ht="80" x14ac:dyDescent="0.2">
      <c r="A11" s="5" t="s">
        <v>56</v>
      </c>
      <c r="B11" s="5" t="s">
        <v>230</v>
      </c>
      <c r="C11" s="11">
        <v>8939</v>
      </c>
      <c r="D11" s="12">
        <f t="shared" si="0"/>
        <v>3.5980228785793066E-2</v>
      </c>
      <c r="E11" s="5" t="s">
        <v>231</v>
      </c>
      <c r="F11" s="5"/>
      <c r="G11" s="5"/>
      <c r="H11" s="5" t="s">
        <v>232</v>
      </c>
      <c r="I11" s="5" t="s">
        <v>213</v>
      </c>
      <c r="J11" s="5" t="s">
        <v>216</v>
      </c>
      <c r="K11" s="5">
        <v>2</v>
      </c>
    </row>
    <row r="12" spans="1:11" ht="50.25" customHeight="1" x14ac:dyDescent="0.2">
      <c r="A12" s="5" t="s">
        <v>65</v>
      </c>
      <c r="B12" s="5" t="s">
        <v>214</v>
      </c>
      <c r="C12" s="9">
        <v>7890</v>
      </c>
      <c r="D12" s="10">
        <f t="shared" si="0"/>
        <v>3.1757915328326128E-2</v>
      </c>
      <c r="E12" s="5" t="s">
        <v>233</v>
      </c>
      <c r="F12" s="5" t="s">
        <v>234</v>
      </c>
      <c r="G12" s="5"/>
      <c r="H12" s="5" t="s">
        <v>235</v>
      </c>
      <c r="I12" s="5" t="s">
        <v>213</v>
      </c>
      <c r="J12" s="5" t="s">
        <v>216</v>
      </c>
      <c r="K12" s="5">
        <v>2</v>
      </c>
    </row>
    <row r="13" spans="1:11" ht="16" x14ac:dyDescent="0.2">
      <c r="A13" s="5" t="s">
        <v>43</v>
      </c>
      <c r="B13" s="5" t="s">
        <v>236</v>
      </c>
      <c r="C13" s="9">
        <v>7765</v>
      </c>
      <c r="D13" s="10">
        <f t="shared" si="0"/>
        <v>3.125477978763655E-2</v>
      </c>
      <c r="E13" s="5" t="s">
        <v>237</v>
      </c>
      <c r="F13" s="5" t="s">
        <v>238</v>
      </c>
      <c r="G13" s="5"/>
      <c r="H13" s="5"/>
      <c r="I13" s="5" t="s">
        <v>213</v>
      </c>
      <c r="J13" s="5" t="s">
        <v>216</v>
      </c>
      <c r="K13" s="5">
        <v>2</v>
      </c>
    </row>
    <row r="14" spans="1:11" ht="16" x14ac:dyDescent="0.2">
      <c r="A14" s="5" t="s">
        <v>68</v>
      </c>
      <c r="B14" s="5" t="s">
        <v>239</v>
      </c>
      <c r="C14" s="9">
        <v>6895</v>
      </c>
      <c r="D14" s="10">
        <f t="shared" si="0"/>
        <v>2.7752956424437092E-2</v>
      </c>
      <c r="E14" s="5" t="s">
        <v>233</v>
      </c>
      <c r="F14" s="5" t="s">
        <v>234</v>
      </c>
      <c r="G14" s="5"/>
      <c r="H14" s="5" t="s">
        <v>240</v>
      </c>
      <c r="I14" s="5" t="s">
        <v>213</v>
      </c>
      <c r="J14" s="5" t="s">
        <v>216</v>
      </c>
      <c r="K14" s="5">
        <v>2</v>
      </c>
    </row>
    <row r="15" spans="1:11" ht="16" x14ac:dyDescent="0.2">
      <c r="A15" s="5" t="s">
        <v>48</v>
      </c>
      <c r="B15" s="5" t="s">
        <v>241</v>
      </c>
      <c r="C15" s="9">
        <v>6863</v>
      </c>
      <c r="D15" s="10">
        <f t="shared" si="0"/>
        <v>2.7624153726020562E-2</v>
      </c>
      <c r="E15" s="5" t="s">
        <v>207</v>
      </c>
      <c r="F15" s="5" t="s">
        <v>215</v>
      </c>
      <c r="G15" s="5"/>
      <c r="H15" s="5"/>
      <c r="I15" s="5" t="s">
        <v>213</v>
      </c>
      <c r="J15" s="5" t="s">
        <v>216</v>
      </c>
      <c r="K15" s="5">
        <v>1</v>
      </c>
    </row>
    <row r="16" spans="1:11" ht="32" x14ac:dyDescent="0.2">
      <c r="A16" s="5" t="s">
        <v>72</v>
      </c>
      <c r="B16" s="5" t="s">
        <v>210</v>
      </c>
      <c r="C16" s="9">
        <v>3959</v>
      </c>
      <c r="D16" s="10">
        <f t="shared" si="0"/>
        <v>1.5935308844720296E-2</v>
      </c>
      <c r="E16" s="5" t="s">
        <v>211</v>
      </c>
      <c r="F16" s="5"/>
      <c r="G16" s="5"/>
      <c r="H16" s="5"/>
      <c r="I16" s="5" t="s">
        <v>213</v>
      </c>
      <c r="J16" s="5" t="s">
        <v>216</v>
      </c>
      <c r="K16" s="5">
        <v>2</v>
      </c>
    </row>
    <row r="17" spans="1:11" ht="16" x14ac:dyDescent="0.2">
      <c r="A17" s="5" t="s">
        <v>76</v>
      </c>
      <c r="B17" s="5" t="s">
        <v>224</v>
      </c>
      <c r="C17" s="9">
        <v>2545</v>
      </c>
      <c r="D17" s="10">
        <f t="shared" si="0"/>
        <v>1.0243839608439796E-2</v>
      </c>
      <c r="E17" s="5" t="s">
        <v>242</v>
      </c>
      <c r="F17" s="5" t="s">
        <v>234</v>
      </c>
      <c r="G17" s="5"/>
      <c r="H17" s="5" t="s">
        <v>243</v>
      </c>
      <c r="I17" s="5" t="s">
        <v>213</v>
      </c>
      <c r="J17" s="5" t="s">
        <v>216</v>
      </c>
      <c r="K17" s="5">
        <v>2</v>
      </c>
    </row>
    <row r="18" spans="1:11" ht="16" x14ac:dyDescent="0.2">
      <c r="A18" s="5" t="s">
        <v>50</v>
      </c>
      <c r="B18" s="5" t="s">
        <v>244</v>
      </c>
      <c r="C18" s="9">
        <v>2394</v>
      </c>
      <c r="D18" s="10">
        <f t="shared" si="0"/>
        <v>9.6360518752867871E-3</v>
      </c>
      <c r="E18" s="5" t="s">
        <v>207</v>
      </c>
      <c r="F18" s="5" t="s">
        <v>215</v>
      </c>
      <c r="G18" s="5"/>
      <c r="H18" s="5"/>
      <c r="I18" s="5" t="s">
        <v>213</v>
      </c>
      <c r="J18" s="5" t="s">
        <v>216</v>
      </c>
      <c r="K18" s="5">
        <v>1</v>
      </c>
    </row>
    <row r="19" spans="1:11" ht="16" x14ac:dyDescent="0.2">
      <c r="A19" s="5" t="s">
        <v>79</v>
      </c>
      <c r="B19" s="5" t="s">
        <v>224</v>
      </c>
      <c r="C19" s="9">
        <v>2267</v>
      </c>
      <c r="D19" s="10">
        <f t="shared" si="0"/>
        <v>9.1248661659461758E-3</v>
      </c>
      <c r="E19" s="5" t="s">
        <v>242</v>
      </c>
      <c r="F19" s="5" t="s">
        <v>245</v>
      </c>
      <c r="G19" s="5"/>
      <c r="H19" s="5"/>
      <c r="I19" s="5" t="s">
        <v>213</v>
      </c>
      <c r="J19" s="5" t="s">
        <v>216</v>
      </c>
      <c r="K19" s="5">
        <v>2</v>
      </c>
    </row>
    <row r="20" spans="1:11" ht="16" x14ac:dyDescent="0.2">
      <c r="A20" s="5" t="s">
        <v>54</v>
      </c>
      <c r="B20" s="5" t="s">
        <v>241</v>
      </c>
      <c r="C20" s="9">
        <v>2136</v>
      </c>
      <c r="D20" s="10">
        <f t="shared" si="0"/>
        <v>8.5975801193034999E-3</v>
      </c>
      <c r="E20" s="5" t="s">
        <v>207</v>
      </c>
      <c r="F20" s="5" t="s">
        <v>215</v>
      </c>
      <c r="G20" s="5"/>
      <c r="H20" s="5"/>
      <c r="I20" s="5" t="s">
        <v>213</v>
      </c>
      <c r="J20" s="5" t="s">
        <v>216</v>
      </c>
      <c r="K20" s="5">
        <v>1</v>
      </c>
    </row>
    <row r="21" spans="1:11" ht="16" x14ac:dyDescent="0.2">
      <c r="A21" s="5" t="s">
        <v>53</v>
      </c>
      <c r="B21" s="5" t="s">
        <v>246</v>
      </c>
      <c r="C21" s="9">
        <v>1462</v>
      </c>
      <c r="D21" s="10">
        <f t="shared" si="0"/>
        <v>5.8846732839052977E-3</v>
      </c>
      <c r="E21" s="5" t="s">
        <v>207</v>
      </c>
      <c r="F21" s="5" t="s">
        <v>215</v>
      </c>
      <c r="G21" s="5"/>
      <c r="H21" s="5"/>
      <c r="I21" s="5" t="s">
        <v>213</v>
      </c>
      <c r="J21" s="5" t="s">
        <v>216</v>
      </c>
      <c r="K21" s="5">
        <v>1</v>
      </c>
    </row>
    <row r="22" spans="1:11" ht="71" x14ac:dyDescent="0.2">
      <c r="A22" s="5" t="s">
        <v>63</v>
      </c>
      <c r="B22" s="8" t="s">
        <v>247</v>
      </c>
      <c r="C22" s="9">
        <v>1287</v>
      </c>
      <c r="D22" s="10">
        <f t="shared" si="0"/>
        <v>5.1802835269398892E-3</v>
      </c>
      <c r="E22" s="5" t="s">
        <v>207</v>
      </c>
      <c r="F22" s="5" t="s">
        <v>215</v>
      </c>
      <c r="G22" s="5"/>
      <c r="H22" s="5"/>
      <c r="I22" s="5" t="s">
        <v>213</v>
      </c>
      <c r="J22" s="5" t="s">
        <v>216</v>
      </c>
      <c r="K22" s="5">
        <v>1</v>
      </c>
    </row>
    <row r="23" spans="1:11" ht="16" x14ac:dyDescent="0.2">
      <c r="A23" s="5" t="s">
        <v>35</v>
      </c>
      <c r="B23" s="5" t="s">
        <v>248</v>
      </c>
      <c r="C23" s="9">
        <v>1267</v>
      </c>
      <c r="D23" s="10">
        <f t="shared" si="0"/>
        <v>5.099781840429557E-3</v>
      </c>
      <c r="E23" s="5" t="s">
        <v>207</v>
      </c>
      <c r="F23" s="5" t="s">
        <v>215</v>
      </c>
      <c r="G23" s="5"/>
      <c r="H23" s="5"/>
      <c r="I23" s="5" t="s">
        <v>213</v>
      </c>
      <c r="J23" s="5" t="s">
        <v>216</v>
      </c>
      <c r="K23" s="5">
        <v>1</v>
      </c>
    </row>
    <row r="24" spans="1:11" ht="16" x14ac:dyDescent="0.2">
      <c r="A24" s="5" t="s">
        <v>34</v>
      </c>
      <c r="B24" s="5" t="s">
        <v>249</v>
      </c>
      <c r="C24" s="9">
        <v>1209</v>
      </c>
      <c r="D24" s="10">
        <f t="shared" si="0"/>
        <v>4.8663269495495933E-3</v>
      </c>
      <c r="E24" s="5" t="s">
        <v>207</v>
      </c>
      <c r="F24" s="5" t="s">
        <v>215</v>
      </c>
      <c r="G24" s="5"/>
      <c r="H24" s="5"/>
      <c r="I24" s="5" t="s">
        <v>213</v>
      </c>
      <c r="J24" s="5" t="s">
        <v>216</v>
      </c>
      <c r="K24" s="5">
        <v>1</v>
      </c>
    </row>
    <row r="25" spans="1:11" ht="16" x14ac:dyDescent="0.2">
      <c r="A25" s="5" t="s">
        <v>71</v>
      </c>
      <c r="B25" s="5" t="s">
        <v>244</v>
      </c>
      <c r="C25" s="9">
        <v>870</v>
      </c>
      <c r="D25" s="10">
        <f t="shared" si="0"/>
        <v>3.5018233631994591E-3</v>
      </c>
      <c r="E25" s="5" t="s">
        <v>237</v>
      </c>
      <c r="F25" s="5"/>
      <c r="G25" s="5"/>
      <c r="H25" s="5"/>
      <c r="I25" s="5" t="s">
        <v>213</v>
      </c>
      <c r="J25" s="5" t="s">
        <v>216</v>
      </c>
      <c r="K25" s="5">
        <v>2</v>
      </c>
    </row>
    <row r="26" spans="1:11" ht="16" x14ac:dyDescent="0.2">
      <c r="A26" s="5" t="s">
        <v>45</v>
      </c>
      <c r="B26" s="5" t="s">
        <v>244</v>
      </c>
      <c r="C26" s="9">
        <v>837</v>
      </c>
      <c r="D26" s="10">
        <f t="shared" si="0"/>
        <v>3.3689955804574105E-3</v>
      </c>
      <c r="E26" s="5" t="s">
        <v>207</v>
      </c>
      <c r="F26" s="5" t="s">
        <v>215</v>
      </c>
      <c r="G26" s="5"/>
      <c r="H26" s="5"/>
      <c r="I26" s="5" t="s">
        <v>213</v>
      </c>
      <c r="J26" s="5" t="s">
        <v>216</v>
      </c>
      <c r="K26" s="5">
        <v>1</v>
      </c>
    </row>
    <row r="27" spans="1:11" ht="16" x14ac:dyDescent="0.2">
      <c r="A27" s="5" t="s">
        <v>100</v>
      </c>
      <c r="B27" s="5" t="s">
        <v>250</v>
      </c>
      <c r="C27" s="9">
        <v>836</v>
      </c>
      <c r="D27" s="10">
        <f t="shared" si="0"/>
        <v>3.3649704961318939E-3</v>
      </c>
      <c r="E27" s="5" t="s">
        <v>233</v>
      </c>
      <c r="F27" s="5" t="s">
        <v>245</v>
      </c>
      <c r="G27" s="5"/>
      <c r="H27" s="5"/>
      <c r="I27" s="5" t="s">
        <v>213</v>
      </c>
      <c r="J27" s="5" t="s">
        <v>216</v>
      </c>
      <c r="K27" s="5">
        <v>2</v>
      </c>
    </row>
    <row r="28" spans="1:11" ht="71" x14ac:dyDescent="0.2">
      <c r="A28" s="5" t="s">
        <v>60</v>
      </c>
      <c r="B28" s="8" t="s">
        <v>247</v>
      </c>
      <c r="C28" s="9">
        <v>785</v>
      </c>
      <c r="D28" s="10">
        <f t="shared" si="0"/>
        <v>3.1596911955305462E-3</v>
      </c>
      <c r="E28" s="5" t="s">
        <v>207</v>
      </c>
      <c r="F28" s="5" t="s">
        <v>215</v>
      </c>
      <c r="G28" s="5"/>
      <c r="H28" s="5"/>
      <c r="I28" s="5" t="s">
        <v>213</v>
      </c>
      <c r="J28" s="5" t="s">
        <v>216</v>
      </c>
      <c r="K28" s="5">
        <v>1</v>
      </c>
    </row>
    <row r="29" spans="1:11" ht="16" x14ac:dyDescent="0.2">
      <c r="A29" s="5" t="s">
        <v>82</v>
      </c>
      <c r="B29" s="5" t="s">
        <v>250</v>
      </c>
      <c r="C29" s="9">
        <v>771</v>
      </c>
      <c r="D29" s="10">
        <f t="shared" si="0"/>
        <v>3.1033400149733138E-3</v>
      </c>
      <c r="E29" s="5" t="s">
        <v>207</v>
      </c>
      <c r="F29" s="5" t="s">
        <v>215</v>
      </c>
      <c r="G29" s="5"/>
      <c r="H29" s="5"/>
      <c r="I29" s="5" t="s">
        <v>213</v>
      </c>
      <c r="J29" s="5" t="s">
        <v>216</v>
      </c>
      <c r="K29" s="5">
        <v>1</v>
      </c>
    </row>
    <row r="30" spans="1:11" ht="80" x14ac:dyDescent="0.2">
      <c r="A30" s="13" t="s">
        <v>102</v>
      </c>
      <c r="B30" s="5" t="s">
        <v>251</v>
      </c>
      <c r="C30" s="11">
        <v>694</v>
      </c>
      <c r="D30" s="12">
        <f t="shared" si="0"/>
        <v>2.793408521908534E-3</v>
      </c>
      <c r="E30" s="5" t="s">
        <v>252</v>
      </c>
      <c r="F30" s="5"/>
      <c r="G30" s="5"/>
      <c r="H30" s="5" t="s">
        <v>253</v>
      </c>
      <c r="I30" s="5" t="s">
        <v>213</v>
      </c>
      <c r="J30" s="5"/>
      <c r="K30" s="5">
        <v>2</v>
      </c>
    </row>
    <row r="31" spans="1:11" ht="32" x14ac:dyDescent="0.2">
      <c r="A31" s="5" t="s">
        <v>74</v>
      </c>
      <c r="B31" s="5" t="s">
        <v>254</v>
      </c>
      <c r="C31" s="9">
        <v>672</v>
      </c>
      <c r="D31" s="10">
        <f t="shared" si="0"/>
        <v>2.7048566667471682E-3</v>
      </c>
      <c r="E31" s="5" t="s">
        <v>255</v>
      </c>
      <c r="F31" s="5"/>
      <c r="G31" s="5"/>
      <c r="H31" s="5" t="s">
        <v>256</v>
      </c>
      <c r="I31" s="5" t="s">
        <v>213</v>
      </c>
      <c r="J31" s="5" t="s">
        <v>216</v>
      </c>
      <c r="K31" s="5">
        <v>2</v>
      </c>
    </row>
    <row r="32" spans="1:11" ht="16" x14ac:dyDescent="0.2">
      <c r="A32" s="5" t="s">
        <v>47</v>
      </c>
      <c r="B32" s="5" t="s">
        <v>244</v>
      </c>
      <c r="C32" s="9">
        <v>604</v>
      </c>
      <c r="D32" s="10">
        <f t="shared" si="0"/>
        <v>2.4311509326120384E-3</v>
      </c>
      <c r="E32" s="5" t="s">
        <v>237</v>
      </c>
      <c r="F32" s="5" t="s">
        <v>257</v>
      </c>
      <c r="G32" s="5"/>
      <c r="H32" s="5"/>
      <c r="I32" s="5" t="s">
        <v>213</v>
      </c>
      <c r="J32" s="5" t="s">
        <v>216</v>
      </c>
      <c r="K32" s="5">
        <v>2</v>
      </c>
    </row>
    <row r="33" spans="1:11" ht="16" x14ac:dyDescent="0.2">
      <c r="A33" s="5" t="s">
        <v>42</v>
      </c>
      <c r="B33" s="5" t="s">
        <v>246</v>
      </c>
      <c r="C33" s="9">
        <v>543</v>
      </c>
      <c r="D33" s="10">
        <f t="shared" si="0"/>
        <v>2.1856207887555245E-3</v>
      </c>
      <c r="E33" s="5" t="s">
        <v>207</v>
      </c>
      <c r="F33" s="5" t="s">
        <v>215</v>
      </c>
      <c r="G33" s="5"/>
      <c r="H33" s="5"/>
      <c r="I33" s="5" t="s">
        <v>213</v>
      </c>
      <c r="J33" s="5" t="s">
        <v>216</v>
      </c>
      <c r="K33" s="5">
        <v>1</v>
      </c>
    </row>
    <row r="34" spans="1:11" ht="16" x14ac:dyDescent="0.2">
      <c r="A34" s="5" t="s">
        <v>110</v>
      </c>
      <c r="B34" s="5" t="s">
        <v>220</v>
      </c>
      <c r="C34" s="9">
        <v>541</v>
      </c>
      <c r="D34" s="10">
        <f t="shared" si="0"/>
        <v>2.1775706201044914E-3</v>
      </c>
      <c r="E34" s="5" t="s">
        <v>233</v>
      </c>
      <c r="F34" s="5" t="s">
        <v>234</v>
      </c>
      <c r="G34" s="5"/>
      <c r="H34" s="5" t="s">
        <v>258</v>
      </c>
      <c r="I34" s="5" t="s">
        <v>213</v>
      </c>
      <c r="J34" s="5" t="s">
        <v>216</v>
      </c>
      <c r="K34" s="5">
        <v>2</v>
      </c>
    </row>
    <row r="35" spans="1:11" ht="16" x14ac:dyDescent="0.2">
      <c r="A35" s="5" t="s">
        <v>80</v>
      </c>
      <c r="B35" s="5" t="s">
        <v>246</v>
      </c>
      <c r="C35" s="9">
        <v>540</v>
      </c>
      <c r="D35" s="10">
        <f t="shared" si="0"/>
        <v>2.1735455357789744E-3</v>
      </c>
      <c r="E35" s="5" t="s">
        <v>237</v>
      </c>
      <c r="F35" s="5" t="s">
        <v>257</v>
      </c>
      <c r="G35" s="5"/>
      <c r="H35" s="5"/>
      <c r="I35" s="5" t="s">
        <v>213</v>
      </c>
      <c r="J35" s="5" t="s">
        <v>216</v>
      </c>
      <c r="K35" s="5">
        <v>2</v>
      </c>
    </row>
    <row r="36" spans="1:11" ht="16" x14ac:dyDescent="0.2">
      <c r="A36" s="5" t="s">
        <v>73</v>
      </c>
      <c r="B36" s="5" t="s">
        <v>259</v>
      </c>
      <c r="C36" s="9">
        <v>527</v>
      </c>
      <c r="D36" s="10">
        <f t="shared" si="0"/>
        <v>2.1212194395472585E-3</v>
      </c>
      <c r="E36" s="5" t="s">
        <v>207</v>
      </c>
      <c r="F36" s="5" t="s">
        <v>215</v>
      </c>
      <c r="G36" s="5"/>
      <c r="H36" s="5"/>
      <c r="I36" s="5" t="s">
        <v>213</v>
      </c>
      <c r="J36" s="5" t="s">
        <v>216</v>
      </c>
      <c r="K36" s="5">
        <v>1</v>
      </c>
    </row>
    <row r="37" spans="1:11" ht="16" x14ac:dyDescent="0.2">
      <c r="A37" s="5" t="s">
        <v>46</v>
      </c>
      <c r="B37" s="5" t="s">
        <v>260</v>
      </c>
      <c r="C37" s="9">
        <v>502</v>
      </c>
      <c r="D37" s="10">
        <f t="shared" si="0"/>
        <v>2.020592331409343E-3</v>
      </c>
      <c r="E37" s="5" t="s">
        <v>207</v>
      </c>
      <c r="F37" s="5" t="s">
        <v>215</v>
      </c>
      <c r="G37" s="5"/>
      <c r="H37" s="5"/>
      <c r="I37" s="5" t="s">
        <v>213</v>
      </c>
      <c r="J37" s="5" t="s">
        <v>216</v>
      </c>
      <c r="K37" s="5">
        <v>1</v>
      </c>
    </row>
    <row r="38" spans="1:11" ht="16" x14ac:dyDescent="0.2">
      <c r="A38" s="5" t="s">
        <v>83</v>
      </c>
      <c r="B38" s="5" t="s">
        <v>241</v>
      </c>
      <c r="C38" s="9">
        <v>479</v>
      </c>
      <c r="D38" s="10">
        <f t="shared" si="0"/>
        <v>1.9280153919224608E-3</v>
      </c>
      <c r="E38" s="5" t="s">
        <v>237</v>
      </c>
      <c r="F38" s="5" t="s">
        <v>257</v>
      </c>
      <c r="G38" s="5"/>
      <c r="H38" s="5"/>
      <c r="I38" s="5" t="s">
        <v>213</v>
      </c>
      <c r="J38" s="5" t="s">
        <v>216</v>
      </c>
      <c r="K38" s="5">
        <v>2</v>
      </c>
    </row>
    <row r="39" spans="1:11" ht="16" x14ac:dyDescent="0.2">
      <c r="A39" s="5" t="s">
        <v>81</v>
      </c>
      <c r="B39" s="5" t="s">
        <v>241</v>
      </c>
      <c r="C39" s="9">
        <v>454</v>
      </c>
      <c r="D39" s="10">
        <f t="shared" si="0"/>
        <v>1.8273882837845452E-3</v>
      </c>
      <c r="E39" s="5" t="s">
        <v>237</v>
      </c>
      <c r="F39" s="5" t="s">
        <v>257</v>
      </c>
      <c r="G39" s="5"/>
      <c r="H39" s="5"/>
      <c r="I39" s="5" t="s">
        <v>213</v>
      </c>
      <c r="J39" s="5" t="s">
        <v>216</v>
      </c>
      <c r="K39" s="5">
        <v>2</v>
      </c>
    </row>
    <row r="40" spans="1:11" ht="16" x14ac:dyDescent="0.2">
      <c r="A40" s="5" t="s">
        <v>39</v>
      </c>
      <c r="B40" s="5" t="s">
        <v>249</v>
      </c>
      <c r="C40" s="9">
        <v>444</v>
      </c>
      <c r="D40" s="10">
        <f t="shared" si="0"/>
        <v>1.7871374405293791E-3</v>
      </c>
      <c r="E40" s="5" t="s">
        <v>207</v>
      </c>
      <c r="F40" s="5" t="s">
        <v>261</v>
      </c>
      <c r="G40" s="5"/>
      <c r="H40" s="5"/>
      <c r="I40" s="5" t="s">
        <v>213</v>
      </c>
      <c r="J40" s="5" t="s">
        <v>216</v>
      </c>
      <c r="K40" s="5">
        <v>1</v>
      </c>
    </row>
    <row r="41" spans="1:11" ht="16" x14ac:dyDescent="0.2">
      <c r="A41" s="5" t="s">
        <v>64</v>
      </c>
      <c r="B41" s="5" t="s">
        <v>249</v>
      </c>
      <c r="C41" s="9">
        <v>442</v>
      </c>
      <c r="D41" s="10">
        <f t="shared" si="0"/>
        <v>1.779087271878346E-3</v>
      </c>
      <c r="E41" s="5" t="s">
        <v>207</v>
      </c>
      <c r="F41" s="5" t="s">
        <v>261</v>
      </c>
      <c r="G41" s="5"/>
      <c r="H41" s="5"/>
      <c r="I41" s="5" t="s">
        <v>213</v>
      </c>
      <c r="J41" s="5" t="s">
        <v>216</v>
      </c>
      <c r="K41" s="5">
        <v>1</v>
      </c>
    </row>
    <row r="42" spans="1:11" ht="32" x14ac:dyDescent="0.2">
      <c r="A42" s="7" t="s">
        <v>116</v>
      </c>
      <c r="B42" s="7" t="s">
        <v>262</v>
      </c>
      <c r="C42" s="14">
        <v>412</v>
      </c>
      <c r="D42" s="15">
        <f t="shared" si="0"/>
        <v>1.6583347421128473E-3</v>
      </c>
      <c r="E42" s="7"/>
      <c r="F42" s="7"/>
      <c r="G42" s="7"/>
      <c r="H42" s="7" t="s">
        <v>263</v>
      </c>
      <c r="I42" s="7"/>
      <c r="J42" s="7"/>
      <c r="K42" s="7"/>
    </row>
    <row r="43" spans="1:11" ht="16" x14ac:dyDescent="0.2">
      <c r="A43" s="5" t="s">
        <v>77</v>
      </c>
      <c r="B43" s="5" t="s">
        <v>262</v>
      </c>
      <c r="C43" s="9">
        <v>353</v>
      </c>
      <c r="D43" s="10">
        <f t="shared" si="0"/>
        <v>1.4208547669073666E-3</v>
      </c>
      <c r="E43" s="5" t="s">
        <v>237</v>
      </c>
      <c r="F43" s="5" t="s">
        <v>257</v>
      </c>
      <c r="G43" s="5"/>
      <c r="H43" s="5"/>
      <c r="I43" s="5" t="s">
        <v>213</v>
      </c>
      <c r="J43" s="5" t="s">
        <v>216</v>
      </c>
      <c r="K43" s="5">
        <v>2</v>
      </c>
    </row>
    <row r="44" spans="1:11" ht="16" x14ac:dyDescent="0.2">
      <c r="A44" s="5" t="s">
        <v>66</v>
      </c>
      <c r="B44" s="5" t="s">
        <v>264</v>
      </c>
      <c r="C44" s="9">
        <v>298</v>
      </c>
      <c r="D44" s="10">
        <f t="shared" si="0"/>
        <v>1.1994751290039527E-3</v>
      </c>
      <c r="E44" s="5" t="s">
        <v>207</v>
      </c>
      <c r="F44" s="5" t="s">
        <v>215</v>
      </c>
      <c r="G44" s="5"/>
      <c r="H44" s="5"/>
      <c r="I44" s="5" t="s">
        <v>213</v>
      </c>
      <c r="J44" s="5" t="s">
        <v>216</v>
      </c>
      <c r="K44" s="5">
        <v>1</v>
      </c>
    </row>
    <row r="45" spans="1:11" ht="32" x14ac:dyDescent="0.2">
      <c r="A45" s="13" t="s">
        <v>69</v>
      </c>
      <c r="B45" s="13" t="s">
        <v>260</v>
      </c>
      <c r="C45" s="16">
        <v>278</v>
      </c>
      <c r="D45" s="17">
        <f t="shared" si="0"/>
        <v>1.1189734424936202E-3</v>
      </c>
      <c r="E45" s="5" t="s">
        <v>265</v>
      </c>
      <c r="F45" s="5" t="s">
        <v>257</v>
      </c>
      <c r="G45" s="5"/>
      <c r="H45" s="5" t="s">
        <v>266</v>
      </c>
      <c r="I45" s="5" t="s">
        <v>213</v>
      </c>
      <c r="J45" s="5" t="s">
        <v>216</v>
      </c>
      <c r="K45" s="5">
        <v>2</v>
      </c>
    </row>
    <row r="46" spans="1:11" ht="32" x14ac:dyDescent="0.2">
      <c r="A46" s="5" t="s">
        <v>105</v>
      </c>
      <c r="B46" s="5" t="s">
        <v>260</v>
      </c>
      <c r="C46" s="9">
        <v>228</v>
      </c>
      <c r="D46" s="10">
        <f t="shared" si="0"/>
        <v>9.1771922621778929E-4</v>
      </c>
      <c r="E46" s="5" t="s">
        <v>237</v>
      </c>
      <c r="F46" s="5" t="s">
        <v>257</v>
      </c>
      <c r="G46" s="5"/>
      <c r="H46" s="5" t="s">
        <v>267</v>
      </c>
      <c r="I46" s="5" t="s">
        <v>213</v>
      </c>
      <c r="J46" s="5" t="s">
        <v>216</v>
      </c>
      <c r="K46" s="5">
        <v>2</v>
      </c>
    </row>
    <row r="47" spans="1:11" ht="71" x14ac:dyDescent="0.2">
      <c r="A47" s="5" t="s">
        <v>67</v>
      </c>
      <c r="B47" s="8" t="s">
        <v>247</v>
      </c>
      <c r="C47" s="9">
        <v>219</v>
      </c>
      <c r="D47" s="10">
        <f t="shared" si="0"/>
        <v>8.8149346728813973E-4</v>
      </c>
      <c r="E47" s="5" t="s">
        <v>265</v>
      </c>
      <c r="F47" s="5" t="s">
        <v>257</v>
      </c>
      <c r="G47" s="5"/>
      <c r="H47" s="5" t="s">
        <v>266</v>
      </c>
      <c r="I47" s="5" t="s">
        <v>213</v>
      </c>
      <c r="J47" s="5" t="s">
        <v>216</v>
      </c>
      <c r="K47" s="5">
        <v>2</v>
      </c>
    </row>
    <row r="48" spans="1:11" ht="16" x14ac:dyDescent="0.2">
      <c r="A48" s="5" t="s">
        <v>38</v>
      </c>
      <c r="B48" s="5" t="s">
        <v>260</v>
      </c>
      <c r="C48" s="9">
        <v>212</v>
      </c>
      <c r="D48" s="10">
        <f t="shared" si="0"/>
        <v>8.533178770095233E-4</v>
      </c>
      <c r="E48" s="5" t="s">
        <v>207</v>
      </c>
      <c r="F48" s="5" t="s">
        <v>215</v>
      </c>
      <c r="G48" s="5"/>
      <c r="H48" s="5"/>
      <c r="I48" s="5" t="s">
        <v>213</v>
      </c>
      <c r="J48" s="5" t="s">
        <v>216</v>
      </c>
      <c r="K48" s="5">
        <v>1</v>
      </c>
    </row>
    <row r="49" spans="1:11" ht="16" x14ac:dyDescent="0.2">
      <c r="A49" s="5" t="s">
        <v>124</v>
      </c>
      <c r="B49" s="5" t="s">
        <v>264</v>
      </c>
      <c r="C49" s="9">
        <v>185</v>
      </c>
      <c r="D49" s="10">
        <f t="shared" si="0"/>
        <v>7.446406002205746E-4</v>
      </c>
      <c r="E49" s="5" t="s">
        <v>233</v>
      </c>
      <c r="F49" s="5" t="s">
        <v>245</v>
      </c>
      <c r="G49" s="5"/>
      <c r="H49" s="5"/>
      <c r="I49" s="5" t="s">
        <v>213</v>
      </c>
      <c r="J49" s="5" t="s">
        <v>216</v>
      </c>
      <c r="K49" s="5">
        <v>2</v>
      </c>
    </row>
    <row r="50" spans="1:11" ht="16" x14ac:dyDescent="0.2">
      <c r="A50" s="5" t="s">
        <v>70</v>
      </c>
      <c r="B50" s="5" t="s">
        <v>268</v>
      </c>
      <c r="C50" s="9">
        <v>183</v>
      </c>
      <c r="D50" s="10">
        <f t="shared" si="0"/>
        <v>7.3659043156954135E-4</v>
      </c>
      <c r="E50" s="5" t="s">
        <v>207</v>
      </c>
      <c r="F50" s="5" t="s">
        <v>261</v>
      </c>
      <c r="G50" s="5"/>
      <c r="H50" s="5"/>
      <c r="I50" s="5" t="s">
        <v>213</v>
      </c>
      <c r="J50" s="5" t="s">
        <v>216</v>
      </c>
      <c r="K50" s="5">
        <v>1</v>
      </c>
    </row>
    <row r="51" spans="1:11" ht="16" x14ac:dyDescent="0.2">
      <c r="A51" s="7" t="s">
        <v>269</v>
      </c>
      <c r="B51" s="7"/>
      <c r="C51" s="14">
        <v>177</v>
      </c>
      <c r="D51" s="15">
        <f t="shared" si="0"/>
        <v>7.1243992561644172E-4</v>
      </c>
      <c r="E51" s="7"/>
      <c r="F51" s="7"/>
      <c r="G51" s="7"/>
      <c r="H51" s="7"/>
      <c r="I51" s="7"/>
      <c r="J51" s="7"/>
      <c r="K51" s="7"/>
    </row>
    <row r="52" spans="1:11" ht="32" x14ac:dyDescent="0.2">
      <c r="A52" s="5" t="s">
        <v>128</v>
      </c>
      <c r="B52" s="5" t="s">
        <v>260</v>
      </c>
      <c r="C52" s="9">
        <v>158</v>
      </c>
      <c r="D52" s="10">
        <f t="shared" si="0"/>
        <v>6.3596332343162591E-4</v>
      </c>
      <c r="E52" s="5" t="s">
        <v>237</v>
      </c>
      <c r="F52" s="5" t="s">
        <v>257</v>
      </c>
      <c r="G52" s="5"/>
      <c r="H52" s="5" t="s">
        <v>270</v>
      </c>
      <c r="I52" s="5" t="s">
        <v>213</v>
      </c>
      <c r="J52" s="5" t="s">
        <v>216</v>
      </c>
      <c r="K52" s="5">
        <v>2</v>
      </c>
    </row>
    <row r="53" spans="1:11" ht="16" x14ac:dyDescent="0.2">
      <c r="A53" s="5" t="s">
        <v>132</v>
      </c>
      <c r="B53" s="5" t="s">
        <v>271</v>
      </c>
      <c r="C53" s="9">
        <v>139</v>
      </c>
      <c r="D53" s="10">
        <f t="shared" si="0"/>
        <v>5.594867212468101E-4</v>
      </c>
      <c r="E53" s="5" t="s">
        <v>233</v>
      </c>
      <c r="F53" s="5" t="s">
        <v>272</v>
      </c>
      <c r="G53" s="5"/>
      <c r="H53" s="5"/>
      <c r="I53" s="5" t="s">
        <v>213</v>
      </c>
      <c r="J53" s="5" t="s">
        <v>216</v>
      </c>
      <c r="K53" s="5">
        <v>2</v>
      </c>
    </row>
    <row r="54" spans="1:11" ht="16" x14ac:dyDescent="0.2">
      <c r="A54" s="5" t="s">
        <v>49</v>
      </c>
      <c r="B54" s="5" t="s">
        <v>239</v>
      </c>
      <c r="C54" s="9">
        <v>138</v>
      </c>
      <c r="D54" s="10">
        <f t="shared" si="0"/>
        <v>5.5546163692129352E-4</v>
      </c>
      <c r="E54" s="5" t="s">
        <v>207</v>
      </c>
      <c r="F54" s="5" t="s">
        <v>215</v>
      </c>
      <c r="G54" s="5"/>
      <c r="H54" s="5"/>
      <c r="I54" s="5" t="s">
        <v>213</v>
      </c>
      <c r="J54" s="5" t="s">
        <v>216</v>
      </c>
      <c r="K54" s="5">
        <v>1</v>
      </c>
    </row>
    <row r="55" spans="1:11" ht="16" x14ac:dyDescent="0.2">
      <c r="A55" s="5" t="s">
        <v>89</v>
      </c>
      <c r="B55" s="5" t="s">
        <v>260</v>
      </c>
      <c r="C55" s="9">
        <v>127</v>
      </c>
      <c r="D55" s="10">
        <f t="shared" si="0"/>
        <v>5.1118570934061071E-4</v>
      </c>
      <c r="E55" s="5" t="s">
        <v>237</v>
      </c>
      <c r="F55" s="5" t="s">
        <v>257</v>
      </c>
      <c r="G55" s="5"/>
      <c r="H55" s="5"/>
      <c r="I55" s="5" t="s">
        <v>213</v>
      </c>
      <c r="J55" s="5" t="s">
        <v>216</v>
      </c>
      <c r="K55" s="5">
        <v>2</v>
      </c>
    </row>
    <row r="56" spans="1:11" ht="16" x14ac:dyDescent="0.2">
      <c r="A56" s="5" t="s">
        <v>96</v>
      </c>
      <c r="B56" s="5" t="s">
        <v>271</v>
      </c>
      <c r="C56" s="9">
        <v>116</v>
      </c>
      <c r="D56" s="10">
        <f t="shared" si="0"/>
        <v>4.669097817599279E-4</v>
      </c>
      <c r="E56" s="5" t="s">
        <v>207</v>
      </c>
      <c r="F56" s="5" t="s">
        <v>215</v>
      </c>
      <c r="G56" s="5"/>
      <c r="H56" s="5"/>
      <c r="I56" s="5" t="s">
        <v>213</v>
      </c>
      <c r="J56" s="5" t="s">
        <v>216</v>
      </c>
      <c r="K56" s="5">
        <v>1</v>
      </c>
    </row>
    <row r="57" spans="1:11" ht="16" x14ac:dyDescent="0.2">
      <c r="A57" s="5" t="s">
        <v>78</v>
      </c>
      <c r="B57" s="5" t="s">
        <v>236</v>
      </c>
      <c r="C57" s="9">
        <v>85</v>
      </c>
      <c r="D57" s="10">
        <f t="shared" si="0"/>
        <v>3.4213216766891265E-4</v>
      </c>
      <c r="E57" s="5" t="s">
        <v>237</v>
      </c>
      <c r="F57" s="5" t="s">
        <v>273</v>
      </c>
      <c r="G57" s="5"/>
      <c r="H57" s="5"/>
      <c r="I57" s="5" t="s">
        <v>213</v>
      </c>
      <c r="J57" s="5" t="s">
        <v>216</v>
      </c>
      <c r="K57" s="5">
        <v>2</v>
      </c>
    </row>
    <row r="58" spans="1:11" ht="80" x14ac:dyDescent="0.2">
      <c r="A58" s="5" t="s">
        <v>142</v>
      </c>
      <c r="B58" s="5" t="s">
        <v>230</v>
      </c>
      <c r="C58" s="9">
        <v>70</v>
      </c>
      <c r="D58" s="10">
        <f t="shared" si="0"/>
        <v>2.8175590278616339E-4</v>
      </c>
      <c r="E58" s="5" t="s">
        <v>207</v>
      </c>
      <c r="F58" s="5" t="s">
        <v>274</v>
      </c>
      <c r="G58" s="5"/>
      <c r="H58" s="5" t="s">
        <v>275</v>
      </c>
      <c r="I58" s="5" t="s">
        <v>213</v>
      </c>
      <c r="J58" s="5" t="s">
        <v>216</v>
      </c>
      <c r="K58" s="5">
        <v>2</v>
      </c>
    </row>
    <row r="59" spans="1:11" ht="32" x14ac:dyDescent="0.2">
      <c r="A59" s="5" t="s">
        <v>144</v>
      </c>
      <c r="B59" s="5" t="s">
        <v>225</v>
      </c>
      <c r="C59" s="9">
        <v>67</v>
      </c>
      <c r="D59" s="10">
        <f t="shared" si="0"/>
        <v>2.6968064980961351E-4</v>
      </c>
      <c r="E59" s="5" t="s">
        <v>233</v>
      </c>
      <c r="F59" s="5" t="s">
        <v>245</v>
      </c>
      <c r="G59" s="5"/>
      <c r="H59" s="5" t="s">
        <v>276</v>
      </c>
      <c r="I59" s="5" t="s">
        <v>213</v>
      </c>
      <c r="J59" s="5" t="s">
        <v>216</v>
      </c>
      <c r="K59" s="5">
        <v>2</v>
      </c>
    </row>
    <row r="60" spans="1:11" ht="32" x14ac:dyDescent="0.2">
      <c r="A60" s="5" t="s">
        <v>92</v>
      </c>
      <c r="B60" s="5" t="s">
        <v>254</v>
      </c>
      <c r="C60" s="9">
        <v>58</v>
      </c>
      <c r="D60" s="10">
        <f t="shared" si="0"/>
        <v>2.3345489087996395E-4</v>
      </c>
      <c r="E60" s="5" t="s">
        <v>255</v>
      </c>
      <c r="F60" s="5"/>
      <c r="G60" s="5"/>
      <c r="H60" s="5" t="s">
        <v>277</v>
      </c>
      <c r="I60" s="5" t="s">
        <v>213</v>
      </c>
      <c r="J60" s="5" t="s">
        <v>216</v>
      </c>
      <c r="K60" s="5">
        <v>2</v>
      </c>
    </row>
    <row r="61" spans="1:11" ht="80" x14ac:dyDescent="0.2">
      <c r="A61" s="5" t="s">
        <v>52</v>
      </c>
      <c r="B61" s="5" t="s">
        <v>278</v>
      </c>
      <c r="C61" s="9">
        <v>37</v>
      </c>
      <c r="D61" s="10">
        <f t="shared" si="0"/>
        <v>1.4892812004411492E-4</v>
      </c>
      <c r="E61" s="5" t="s">
        <v>207</v>
      </c>
      <c r="F61" s="5" t="s">
        <v>261</v>
      </c>
      <c r="G61" s="5"/>
      <c r="H61" s="5"/>
      <c r="I61" s="5" t="s">
        <v>213</v>
      </c>
      <c r="J61" s="5" t="s">
        <v>216</v>
      </c>
      <c r="K61" s="5">
        <v>1</v>
      </c>
    </row>
    <row r="62" spans="1:11" ht="16" x14ac:dyDescent="0.2">
      <c r="A62" s="5" t="s">
        <v>51</v>
      </c>
      <c r="B62" s="5" t="s">
        <v>254</v>
      </c>
      <c r="C62" s="9">
        <v>34</v>
      </c>
      <c r="D62" s="10">
        <f t="shared" si="0"/>
        <v>1.3685286706756507E-4</v>
      </c>
      <c r="E62" s="5" t="s">
        <v>207</v>
      </c>
      <c r="F62" s="5" t="s">
        <v>261</v>
      </c>
      <c r="G62" s="5"/>
      <c r="H62" s="5"/>
      <c r="I62" s="5" t="s">
        <v>213</v>
      </c>
      <c r="J62" s="5" t="s">
        <v>216</v>
      </c>
      <c r="K62" s="5">
        <v>1</v>
      </c>
    </row>
    <row r="63" spans="1:11" ht="16" x14ac:dyDescent="0.2">
      <c r="A63" s="5" t="s">
        <v>57</v>
      </c>
      <c r="B63" s="5"/>
      <c r="C63" s="9">
        <v>32</v>
      </c>
      <c r="D63" s="10">
        <f t="shared" si="0"/>
        <v>1.2880269841653182E-4</v>
      </c>
      <c r="E63" s="5" t="s">
        <v>207</v>
      </c>
      <c r="F63" s="5"/>
      <c r="G63" s="5"/>
      <c r="H63" s="5" t="s">
        <v>279</v>
      </c>
      <c r="I63" s="5" t="s">
        <v>213</v>
      </c>
      <c r="J63" s="5" t="s">
        <v>216</v>
      </c>
      <c r="K63" s="5">
        <v>2</v>
      </c>
    </row>
    <row r="64" spans="1:11" ht="16" x14ac:dyDescent="0.2">
      <c r="A64" s="5" t="s">
        <v>126</v>
      </c>
      <c r="B64" s="5" t="s">
        <v>280</v>
      </c>
      <c r="C64" s="9">
        <v>31</v>
      </c>
      <c r="D64" s="10">
        <f t="shared" si="0"/>
        <v>1.247776140910152E-4</v>
      </c>
      <c r="E64" s="5" t="s">
        <v>237</v>
      </c>
      <c r="F64" s="5" t="s">
        <v>257</v>
      </c>
      <c r="G64" s="5"/>
      <c r="H64" s="5"/>
      <c r="I64" s="5" t="s">
        <v>213</v>
      </c>
      <c r="J64" s="5" t="s">
        <v>216</v>
      </c>
      <c r="K64" s="5">
        <v>2</v>
      </c>
    </row>
    <row r="65" spans="1:11" ht="64" x14ac:dyDescent="0.2">
      <c r="A65" s="5" t="s">
        <v>98</v>
      </c>
      <c r="B65" s="5" t="s">
        <v>281</v>
      </c>
      <c r="C65" s="9">
        <v>27</v>
      </c>
      <c r="D65" s="10">
        <f t="shared" si="0"/>
        <v>1.0867727678894872E-4</v>
      </c>
      <c r="E65" s="5" t="s">
        <v>207</v>
      </c>
      <c r="F65" s="5"/>
      <c r="G65" s="5"/>
      <c r="H65" s="5" t="s">
        <v>282</v>
      </c>
      <c r="I65" s="5" t="s">
        <v>213</v>
      </c>
      <c r="J65" s="5" t="s">
        <v>216</v>
      </c>
      <c r="K65" s="5">
        <v>2</v>
      </c>
    </row>
    <row r="66" spans="1:11" ht="16" x14ac:dyDescent="0.2">
      <c r="A66" s="5" t="s">
        <v>59</v>
      </c>
      <c r="B66" s="5" t="s">
        <v>283</v>
      </c>
      <c r="C66" s="9">
        <v>27</v>
      </c>
      <c r="D66" s="10">
        <f t="shared" si="0"/>
        <v>1.0867727678894872E-4</v>
      </c>
      <c r="E66" s="5" t="s">
        <v>207</v>
      </c>
      <c r="F66" s="5"/>
      <c r="G66" s="5"/>
      <c r="H66" s="5" t="s">
        <v>284</v>
      </c>
      <c r="I66" s="5" t="s">
        <v>213</v>
      </c>
      <c r="J66" s="5" t="s">
        <v>216</v>
      </c>
      <c r="K66" s="5">
        <v>2</v>
      </c>
    </row>
    <row r="67" spans="1:11" ht="48" x14ac:dyDescent="0.2">
      <c r="A67" s="5" t="s">
        <v>166</v>
      </c>
      <c r="B67" s="5" t="s">
        <v>214</v>
      </c>
      <c r="C67" s="9">
        <v>22</v>
      </c>
      <c r="D67" s="10">
        <f t="shared" ref="D67:D83" si="1">C67/SUM(($C$2:$C$83))</f>
        <v>8.855185516136563E-5</v>
      </c>
      <c r="E67" s="5" t="s">
        <v>207</v>
      </c>
      <c r="F67" s="5" t="s">
        <v>261</v>
      </c>
      <c r="G67" s="5"/>
      <c r="H67" s="5" t="s">
        <v>285</v>
      </c>
      <c r="I67" s="5" t="s">
        <v>213</v>
      </c>
      <c r="J67" s="5" t="s">
        <v>216</v>
      </c>
      <c r="K67" s="5">
        <v>1</v>
      </c>
    </row>
    <row r="68" spans="1:11" ht="16" x14ac:dyDescent="0.2">
      <c r="A68" s="5" t="s">
        <v>87</v>
      </c>
      <c r="B68" s="5" t="s">
        <v>283</v>
      </c>
      <c r="C68" s="9">
        <v>13</v>
      </c>
      <c r="D68" s="10">
        <f t="shared" si="1"/>
        <v>5.2326096231716057E-5</v>
      </c>
      <c r="E68" s="5" t="s">
        <v>207</v>
      </c>
      <c r="F68" s="5" t="s">
        <v>274</v>
      </c>
      <c r="G68" s="5"/>
      <c r="H68" s="5"/>
      <c r="I68" s="5" t="s">
        <v>213</v>
      </c>
      <c r="J68" s="5" t="s">
        <v>216</v>
      </c>
      <c r="K68" s="5">
        <v>2</v>
      </c>
    </row>
    <row r="69" spans="1:11" ht="64" x14ac:dyDescent="0.2">
      <c r="A69" s="5" t="s">
        <v>86</v>
      </c>
      <c r="B69" s="5" t="s">
        <v>286</v>
      </c>
      <c r="C69" s="9">
        <v>8</v>
      </c>
      <c r="D69" s="10">
        <f t="shared" si="1"/>
        <v>3.2200674604132955E-5</v>
      </c>
      <c r="E69" s="5" t="s">
        <v>226</v>
      </c>
      <c r="F69" s="5"/>
      <c r="G69" s="5"/>
      <c r="H69" s="5" t="s">
        <v>282</v>
      </c>
      <c r="I69" s="5" t="s">
        <v>213</v>
      </c>
      <c r="J69" s="5" t="s">
        <v>216</v>
      </c>
      <c r="K69" s="5">
        <v>2</v>
      </c>
    </row>
    <row r="70" spans="1:11" ht="16" x14ac:dyDescent="0.2">
      <c r="A70" s="5" t="s">
        <v>94</v>
      </c>
      <c r="B70" s="5" t="s">
        <v>283</v>
      </c>
      <c r="C70" s="9">
        <v>5</v>
      </c>
      <c r="D70" s="10">
        <f t="shared" si="1"/>
        <v>2.0125421627583099E-5</v>
      </c>
      <c r="E70" s="5" t="s">
        <v>207</v>
      </c>
      <c r="F70" s="5" t="s">
        <v>261</v>
      </c>
      <c r="G70" s="5"/>
      <c r="H70" s="5" t="s">
        <v>287</v>
      </c>
      <c r="I70" s="5" t="s">
        <v>213</v>
      </c>
      <c r="J70" s="5" t="s">
        <v>216</v>
      </c>
      <c r="K70" s="5">
        <v>1</v>
      </c>
    </row>
    <row r="71" spans="1:11" ht="16" x14ac:dyDescent="0.2">
      <c r="A71" s="5" t="s">
        <v>95</v>
      </c>
      <c r="B71" s="5" t="s">
        <v>283</v>
      </c>
      <c r="C71" s="9">
        <v>4</v>
      </c>
      <c r="D71" s="10">
        <f t="shared" si="1"/>
        <v>1.6100337302066478E-5</v>
      </c>
      <c r="E71" s="5" t="s">
        <v>207</v>
      </c>
      <c r="F71" s="5" t="s">
        <v>261</v>
      </c>
      <c r="G71" s="5"/>
      <c r="H71" s="5" t="s">
        <v>287</v>
      </c>
      <c r="I71" s="5" t="s">
        <v>213</v>
      </c>
      <c r="J71" s="5" t="s">
        <v>216</v>
      </c>
      <c r="K71" s="5">
        <v>1</v>
      </c>
    </row>
    <row r="72" spans="1:11" ht="16" x14ac:dyDescent="0.2">
      <c r="A72" s="13" t="s">
        <v>125</v>
      </c>
      <c r="B72" s="13" t="s">
        <v>260</v>
      </c>
      <c r="C72" s="16">
        <v>4</v>
      </c>
      <c r="D72" s="17">
        <f t="shared" si="1"/>
        <v>1.6100337302066478E-5</v>
      </c>
      <c r="E72" s="5" t="s">
        <v>207</v>
      </c>
      <c r="F72" s="5" t="s">
        <v>261</v>
      </c>
      <c r="G72" s="5"/>
      <c r="H72" s="5"/>
      <c r="I72" s="5" t="s">
        <v>213</v>
      </c>
      <c r="J72" s="5" t="s">
        <v>216</v>
      </c>
      <c r="K72" s="5">
        <v>1</v>
      </c>
    </row>
    <row r="73" spans="1:11" ht="64" x14ac:dyDescent="0.2">
      <c r="A73" s="5" t="s">
        <v>129</v>
      </c>
      <c r="B73" s="5" t="s">
        <v>260</v>
      </c>
      <c r="C73" s="9">
        <v>2</v>
      </c>
      <c r="D73" s="10">
        <f t="shared" si="1"/>
        <v>8.0501686510332388E-6</v>
      </c>
      <c r="E73" s="5" t="s">
        <v>207</v>
      </c>
      <c r="F73" s="5"/>
      <c r="G73" s="5"/>
      <c r="H73" s="5" t="s">
        <v>282</v>
      </c>
      <c r="I73" s="5" t="s">
        <v>213</v>
      </c>
      <c r="J73" s="5" t="s">
        <v>216</v>
      </c>
      <c r="K73" s="5">
        <v>2</v>
      </c>
    </row>
    <row r="74" spans="1:11" ht="48" x14ac:dyDescent="0.2">
      <c r="A74" s="5" t="s">
        <v>91</v>
      </c>
      <c r="B74" s="5" t="s">
        <v>260</v>
      </c>
      <c r="C74" s="9">
        <v>2</v>
      </c>
      <c r="D74" s="10">
        <f t="shared" si="1"/>
        <v>8.0501686510332388E-6</v>
      </c>
      <c r="E74" s="5" t="s">
        <v>207</v>
      </c>
      <c r="F74" s="5" t="s">
        <v>215</v>
      </c>
      <c r="G74" s="5"/>
      <c r="H74" s="5" t="s">
        <v>288</v>
      </c>
      <c r="I74" s="5" t="s">
        <v>216</v>
      </c>
      <c r="J74" s="5" t="s">
        <v>213</v>
      </c>
      <c r="K74" s="5">
        <v>1</v>
      </c>
    </row>
    <row r="75" spans="1:11" ht="64" x14ac:dyDescent="0.2">
      <c r="A75" s="5" t="s">
        <v>85</v>
      </c>
      <c r="B75" s="5" t="s">
        <v>248</v>
      </c>
      <c r="C75" s="9">
        <v>1</v>
      </c>
      <c r="D75" s="10">
        <f t="shared" si="1"/>
        <v>4.0250843255166194E-6</v>
      </c>
      <c r="E75" s="5" t="s">
        <v>207</v>
      </c>
      <c r="F75" s="5"/>
      <c r="G75" s="5"/>
      <c r="H75" s="5" t="s">
        <v>289</v>
      </c>
      <c r="I75" s="5" t="s">
        <v>216</v>
      </c>
      <c r="J75" s="5" t="s">
        <v>290</v>
      </c>
      <c r="K75" s="5">
        <v>2</v>
      </c>
    </row>
    <row r="76" spans="1:11" ht="48" x14ac:dyDescent="0.2">
      <c r="A76" s="5" t="s">
        <v>127</v>
      </c>
      <c r="B76" s="5" t="s">
        <v>271</v>
      </c>
      <c r="C76" s="9">
        <v>1</v>
      </c>
      <c r="D76" s="10">
        <f t="shared" si="1"/>
        <v>4.0250843255166194E-6</v>
      </c>
      <c r="E76" s="5" t="s">
        <v>207</v>
      </c>
      <c r="F76" s="5" t="s">
        <v>215</v>
      </c>
      <c r="G76" s="5"/>
      <c r="H76" s="5" t="s">
        <v>288</v>
      </c>
      <c r="I76" s="5" t="s">
        <v>216</v>
      </c>
      <c r="J76" s="5" t="s">
        <v>213</v>
      </c>
      <c r="K76" s="5">
        <v>1</v>
      </c>
    </row>
    <row r="77" spans="1:11" ht="64" x14ac:dyDescent="0.2">
      <c r="A77" s="5" t="s">
        <v>148</v>
      </c>
      <c r="B77" s="5" t="s">
        <v>291</v>
      </c>
      <c r="C77" s="9">
        <v>1</v>
      </c>
      <c r="D77" s="10">
        <f t="shared" si="1"/>
        <v>4.0250843255166194E-6</v>
      </c>
      <c r="E77" s="5" t="s">
        <v>207</v>
      </c>
      <c r="F77" s="5"/>
      <c r="G77" s="5"/>
      <c r="H77" s="5" t="s">
        <v>289</v>
      </c>
      <c r="I77" s="5" t="s">
        <v>216</v>
      </c>
      <c r="J77" s="5" t="s">
        <v>213</v>
      </c>
      <c r="K77" s="5">
        <v>2</v>
      </c>
    </row>
    <row r="78" spans="1:11" ht="48" x14ac:dyDescent="0.2">
      <c r="A78" s="5" t="s">
        <v>103</v>
      </c>
      <c r="B78" s="5" t="s">
        <v>291</v>
      </c>
      <c r="C78" s="9">
        <v>1</v>
      </c>
      <c r="D78" s="10">
        <f t="shared" si="1"/>
        <v>4.0250843255166194E-6</v>
      </c>
      <c r="E78" s="5" t="s">
        <v>207</v>
      </c>
      <c r="F78" s="5" t="s">
        <v>215</v>
      </c>
      <c r="G78" s="5"/>
      <c r="H78" s="5" t="s">
        <v>288</v>
      </c>
      <c r="I78" s="5" t="s">
        <v>216</v>
      </c>
      <c r="J78" s="5" t="s">
        <v>213</v>
      </c>
      <c r="K78" s="5">
        <v>1</v>
      </c>
    </row>
    <row r="79" spans="1:11" ht="48" x14ac:dyDescent="0.2">
      <c r="A79" s="5" t="s">
        <v>176</v>
      </c>
      <c r="B79" s="5" t="s">
        <v>262</v>
      </c>
      <c r="C79" s="9">
        <v>1</v>
      </c>
      <c r="D79" s="10">
        <f t="shared" si="1"/>
        <v>4.0250843255166194E-6</v>
      </c>
      <c r="E79" s="5" t="s">
        <v>226</v>
      </c>
      <c r="F79" s="5" t="s">
        <v>215</v>
      </c>
      <c r="G79" s="5"/>
      <c r="H79" s="5" t="s">
        <v>288</v>
      </c>
      <c r="I79" s="5" t="s">
        <v>216</v>
      </c>
      <c r="J79" s="5" t="s">
        <v>213</v>
      </c>
      <c r="K79" s="5">
        <v>1</v>
      </c>
    </row>
    <row r="80" spans="1:11" ht="80" x14ac:dyDescent="0.2">
      <c r="A80" s="5" t="s">
        <v>61</v>
      </c>
      <c r="B80" s="5" t="s">
        <v>292</v>
      </c>
      <c r="C80" s="9">
        <v>1</v>
      </c>
      <c r="D80" s="10">
        <f t="shared" si="1"/>
        <v>4.0250843255166194E-6</v>
      </c>
      <c r="E80" s="5" t="s">
        <v>237</v>
      </c>
      <c r="F80" s="5"/>
      <c r="G80" s="5"/>
      <c r="H80" s="5" t="s">
        <v>293</v>
      </c>
      <c r="I80" s="5" t="s">
        <v>216</v>
      </c>
      <c r="J80" s="5" t="s">
        <v>213</v>
      </c>
      <c r="K80" s="5">
        <v>2</v>
      </c>
    </row>
    <row r="81" spans="1:11" ht="48" x14ac:dyDescent="0.2">
      <c r="A81" s="5" t="s">
        <v>115</v>
      </c>
      <c r="B81" s="5" t="s">
        <v>291</v>
      </c>
      <c r="C81" s="9">
        <v>1</v>
      </c>
      <c r="D81" s="10">
        <f t="shared" si="1"/>
        <v>4.0250843255166194E-6</v>
      </c>
      <c r="E81" s="5" t="s">
        <v>207</v>
      </c>
      <c r="F81" s="5" t="s">
        <v>215</v>
      </c>
      <c r="G81" s="5"/>
      <c r="H81" s="5" t="s">
        <v>288</v>
      </c>
      <c r="I81" s="5" t="s">
        <v>216</v>
      </c>
      <c r="J81" s="5" t="s">
        <v>213</v>
      </c>
      <c r="K81" s="5">
        <v>1</v>
      </c>
    </row>
    <row r="82" spans="1:11" ht="48" x14ac:dyDescent="0.2">
      <c r="A82" s="5" t="s">
        <v>112</v>
      </c>
      <c r="B82" s="5" t="s">
        <v>294</v>
      </c>
      <c r="C82" s="9">
        <v>1</v>
      </c>
      <c r="D82" s="10">
        <f t="shared" si="1"/>
        <v>4.0250843255166194E-6</v>
      </c>
      <c r="E82" s="5" t="s">
        <v>207</v>
      </c>
      <c r="F82" s="5" t="s">
        <v>215</v>
      </c>
      <c r="G82" s="5"/>
      <c r="H82" s="5" t="s">
        <v>288</v>
      </c>
      <c r="I82" s="5" t="s">
        <v>216</v>
      </c>
      <c r="J82" s="5" t="s">
        <v>213</v>
      </c>
      <c r="K82" s="5">
        <v>1</v>
      </c>
    </row>
    <row r="83" spans="1:11" ht="64" x14ac:dyDescent="0.2">
      <c r="A83" s="5" t="s">
        <v>153</v>
      </c>
      <c r="B83" s="5" t="s">
        <v>294</v>
      </c>
      <c r="C83" s="9">
        <v>1</v>
      </c>
      <c r="D83" s="10">
        <f t="shared" si="1"/>
        <v>4.0250843255166194E-6</v>
      </c>
      <c r="E83" s="5" t="s">
        <v>207</v>
      </c>
      <c r="F83" s="5"/>
      <c r="G83" s="5"/>
      <c r="H83" s="5" t="s">
        <v>289</v>
      </c>
      <c r="I83" s="5" t="s">
        <v>216</v>
      </c>
      <c r="J83" s="5" t="s">
        <v>213</v>
      </c>
      <c r="K83" s="5">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termination reason</vt:lpstr>
      <vt:lpstr>activity name counts (CAR)</vt:lpstr>
      <vt:lpstr>Last activity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Arvind Krishna</dc:creator>
  <cp:keywords/>
  <dc:description/>
  <cp:lastModifiedBy>Microsoft Office User</cp:lastModifiedBy>
  <cp:revision/>
  <dcterms:created xsi:type="dcterms:W3CDTF">2025-09-30T07:02:42Z</dcterms:created>
  <dcterms:modified xsi:type="dcterms:W3CDTF">2025-11-19T02:28:35Z</dcterms:modified>
  <cp:category/>
  <cp:contentStatus/>
</cp:coreProperties>
</file>